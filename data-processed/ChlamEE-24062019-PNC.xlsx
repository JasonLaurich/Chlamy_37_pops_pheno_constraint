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_37_pops_pheno_constraint/data-processed/"/>
    </mc:Choice>
  </mc:AlternateContent>
  <xr:revisionPtr revIDLastSave="0" documentId="8_{E85F0323-FF18-444E-B45D-025BACDF1F35}" xr6:coauthVersionLast="47" xr6:coauthVersionMax="47" xr10:uidLastSave="{00000000-0000-0000-0000-000000000000}"/>
  <bookViews>
    <workbookView xWindow="-108" yWindow="-108" windowWidth="23256" windowHeight="12456" tabRatio="500" xr2:uid="{D77C1AC6-C73C-4228-B449-C3633436B8BB}"/>
  </bookViews>
  <sheets>
    <sheet name="15_ChlamEE-24062019-NC" sheetId="1" r:id="rId1"/>
    <sheet name="Nutiens C-N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3" i="3"/>
  <c r="G14" i="3"/>
  <c r="G15" i="3"/>
  <c r="G4" i="3"/>
  <c r="F4" i="3"/>
  <c r="G53" i="3"/>
  <c r="E12" i="3"/>
  <c r="E13" i="3"/>
  <c r="E14" i="3"/>
  <c r="E15" i="3"/>
  <c r="E4" i="3"/>
  <c r="D4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O61" i="1"/>
  <c r="P61" i="1"/>
  <c r="O62" i="1"/>
  <c r="P62" i="1"/>
  <c r="O83" i="1"/>
  <c r="P83" i="1"/>
  <c r="O84" i="1"/>
  <c r="P84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</calcChain>
</file>

<file path=xl/sharedStrings.xml><?xml version="1.0" encoding="utf-8"?>
<sst xmlns="http://schemas.openxmlformats.org/spreadsheetml/2006/main" count="347" uniqueCount="148">
  <si>
    <t>ResultID</t>
  </si>
  <si>
    <t xml:space="preserve">Position </t>
  </si>
  <si>
    <t>SampleType</t>
  </si>
  <si>
    <t>SampleIdentity</t>
  </si>
  <si>
    <t>NO2NO3- Results[µg N/L]</t>
  </si>
  <si>
    <t>P- Results[µg P/L]</t>
  </si>
  <si>
    <t>PDCupsHistory</t>
  </si>
  <si>
    <t xml:space="preserve">IW        </t>
  </si>
  <si>
    <t>InitialWash</t>
  </si>
  <si>
    <t xml:space="preserve">ST6       </t>
  </si>
  <si>
    <t xml:space="preserve">T         </t>
  </si>
  <si>
    <t>Tracer</t>
  </si>
  <si>
    <t xml:space="preserve">WT        </t>
  </si>
  <si>
    <t xml:space="preserve">W         </t>
  </si>
  <si>
    <t>Wash</t>
  </si>
  <si>
    <t xml:space="preserve">ST4       </t>
  </si>
  <si>
    <t xml:space="preserve">D         </t>
  </si>
  <si>
    <t>Drift</t>
  </si>
  <si>
    <t xml:space="preserve">ST1       </t>
  </si>
  <si>
    <t xml:space="preserve">S1        </t>
  </si>
  <si>
    <t>Standard1</t>
  </si>
  <si>
    <t xml:space="preserve">ST2       </t>
  </si>
  <si>
    <t xml:space="preserve">S2        </t>
  </si>
  <si>
    <t>Standard2</t>
  </si>
  <si>
    <t xml:space="preserve">ST3       </t>
  </si>
  <si>
    <t xml:space="preserve">S3        </t>
  </si>
  <si>
    <t>Standard3</t>
  </si>
  <si>
    <t xml:space="preserve">S4        </t>
  </si>
  <si>
    <t>Standard4</t>
  </si>
  <si>
    <t xml:space="preserve">ST5       </t>
  </si>
  <si>
    <t xml:space="preserve">S5        </t>
  </si>
  <si>
    <t>Standard5</t>
  </si>
  <si>
    <t xml:space="preserve">S6        </t>
  </si>
  <si>
    <t>Standard6</t>
  </si>
  <si>
    <t xml:space="preserve">A1        </t>
  </si>
  <si>
    <t xml:space="preserve">U         </t>
  </si>
  <si>
    <t>1</t>
  </si>
  <si>
    <t xml:space="preserve">A2        </t>
  </si>
  <si>
    <t>2</t>
  </si>
  <si>
    <t xml:space="preserve">A3        </t>
  </si>
  <si>
    <t>3</t>
  </si>
  <si>
    <t xml:space="preserve">A4        </t>
  </si>
  <si>
    <t>4</t>
  </si>
  <si>
    <t xml:space="preserve">A5        </t>
  </si>
  <si>
    <t>5</t>
  </si>
  <si>
    <t xml:space="preserve">A6        </t>
  </si>
  <si>
    <t>6</t>
  </si>
  <si>
    <t xml:space="preserve">A7        </t>
  </si>
  <si>
    <t>7</t>
  </si>
  <si>
    <t xml:space="preserve">A8        </t>
  </si>
  <si>
    <t>8</t>
  </si>
  <si>
    <t xml:space="preserve">A9        </t>
  </si>
  <si>
    <t>9</t>
  </si>
  <si>
    <t xml:space="preserve">A10       </t>
  </si>
  <si>
    <t>10</t>
  </si>
  <si>
    <t xml:space="preserve">A11       </t>
  </si>
  <si>
    <t>11</t>
  </si>
  <si>
    <t xml:space="preserve">A14       </t>
  </si>
  <si>
    <t>14</t>
  </si>
  <si>
    <t xml:space="preserve">A15       </t>
  </si>
  <si>
    <t>15</t>
  </si>
  <si>
    <t xml:space="preserve">A16       </t>
  </si>
  <si>
    <t>16</t>
  </si>
  <si>
    <t xml:space="preserve">A17       </t>
  </si>
  <si>
    <t>17</t>
  </si>
  <si>
    <t xml:space="preserve">A18       </t>
  </si>
  <si>
    <t>18</t>
  </si>
  <si>
    <t xml:space="preserve">A19       </t>
  </si>
  <si>
    <t>19</t>
  </si>
  <si>
    <t xml:space="preserve">A20       </t>
  </si>
  <si>
    <t>20</t>
  </si>
  <si>
    <t xml:space="preserve">A21       </t>
  </si>
  <si>
    <t>21</t>
  </si>
  <si>
    <t xml:space="preserve">A22       </t>
  </si>
  <si>
    <t>22</t>
  </si>
  <si>
    <t xml:space="preserve">A23       </t>
  </si>
  <si>
    <t>23</t>
  </si>
  <si>
    <t xml:space="preserve">A24       </t>
  </si>
  <si>
    <t>24</t>
  </si>
  <si>
    <t xml:space="preserve">A25       </t>
  </si>
  <si>
    <t>25</t>
  </si>
  <si>
    <t xml:space="preserve">A26       </t>
  </si>
  <si>
    <t>26</t>
  </si>
  <si>
    <t xml:space="preserve">A27       </t>
  </si>
  <si>
    <t>27</t>
  </si>
  <si>
    <t xml:space="preserve">A28       </t>
  </si>
  <si>
    <t>28</t>
  </si>
  <si>
    <t xml:space="preserve">A29       </t>
  </si>
  <si>
    <t>29</t>
  </si>
  <si>
    <t xml:space="preserve">A30       </t>
  </si>
  <si>
    <t>30</t>
  </si>
  <si>
    <t xml:space="preserve">A31       </t>
  </si>
  <si>
    <t>31</t>
  </si>
  <si>
    <t xml:space="preserve">A32       </t>
  </si>
  <si>
    <t>32</t>
  </si>
  <si>
    <t xml:space="preserve">A33       </t>
  </si>
  <si>
    <t>33</t>
  </si>
  <si>
    <t xml:space="preserve">A35       </t>
  </si>
  <si>
    <t>35</t>
  </si>
  <si>
    <t xml:space="preserve">B1        </t>
  </si>
  <si>
    <t>36</t>
  </si>
  <si>
    <t xml:space="preserve">B2        </t>
  </si>
  <si>
    <t>37</t>
  </si>
  <si>
    <t xml:space="preserve">B3        </t>
  </si>
  <si>
    <t>38</t>
  </si>
  <si>
    <t xml:space="preserve">B4        </t>
  </si>
  <si>
    <t>39</t>
  </si>
  <si>
    <t xml:space="preserve">B5        </t>
  </si>
  <si>
    <t>40</t>
  </si>
  <si>
    <t xml:space="preserve">E         </t>
  </si>
  <si>
    <t>EndRun</t>
  </si>
  <si>
    <t>Sample Number</t>
  </si>
  <si>
    <t>A3</t>
  </si>
  <si>
    <t>Weight mg</t>
  </si>
  <si>
    <t>Digestion Volumina ml</t>
  </si>
  <si>
    <t>Diluted Factor</t>
  </si>
  <si>
    <t xml:space="preserve"> N µg/Filter</t>
  </si>
  <si>
    <t xml:space="preserve"> P µg/Filter</t>
  </si>
  <si>
    <t>Name</t>
  </si>
  <si>
    <t xml:space="preserve">P-N </t>
  </si>
  <si>
    <t>Berechnungsformel:</t>
  </si>
  <si>
    <t xml:space="preserve">µg N or P µg/L devided by 1000 and multiplay by digestion Vol [10ml] </t>
  </si>
  <si>
    <t>Dany Steiner</t>
  </si>
  <si>
    <t>7.11.2017</t>
  </si>
  <si>
    <t>EA/IRMS Analyzer</t>
  </si>
  <si>
    <t>Aceta Indi</t>
  </si>
  <si>
    <t>Mittelwert</t>
  </si>
  <si>
    <t>Aceta Ind1</t>
  </si>
  <si>
    <t>Mol</t>
  </si>
  <si>
    <t>N</t>
  </si>
  <si>
    <t>C</t>
  </si>
  <si>
    <t>C8H9NO</t>
  </si>
  <si>
    <t>Weight</t>
  </si>
  <si>
    <t>N Area</t>
  </si>
  <si>
    <t xml:space="preserve"> N mg</t>
  </si>
  <si>
    <t>C Area</t>
  </si>
  <si>
    <t>C mg</t>
  </si>
  <si>
    <t>N (%)</t>
  </si>
  <si>
    <t>C (%)</t>
  </si>
  <si>
    <t>C/N Ratio</t>
  </si>
  <si>
    <t>170124-Tin Caps1</t>
  </si>
  <si>
    <t>170124-Tin Caps2</t>
  </si>
  <si>
    <t>170124-Tin Caps3</t>
  </si>
  <si>
    <t>170124-Aceta Ind1</t>
  </si>
  <si>
    <t>170124-Aceta Ind2</t>
  </si>
  <si>
    <t>170124-Aceta Ind3</t>
  </si>
  <si>
    <t>170124-Aceta Ind4</t>
  </si>
  <si>
    <t>Aufschlussverfahren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</si>
</sst>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###0;\-###0"/>
    <numFmt numFmtId="181" formatCode="###0.00;\-###0.00"/>
    <numFmt numFmtId="183" formatCode="0.000"/>
    <numFmt numFmtId="184" formatCode="0.0000000"/>
  </numFmts>
  <fonts count="9" x14ac:knownFonts="1"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b/>
      <sz val="20"/>
      <name val="Microsoft Sans Serif"/>
    </font>
    <font>
      <sz val="10"/>
      <name val="Microsoft Sans Serif"/>
    </font>
    <font>
      <sz val="16"/>
      <name val="Microsoft Sans Serif"/>
      <family val="2"/>
    </font>
    <font>
      <b/>
      <sz val="8"/>
      <color rgb="FFFF0000"/>
      <name val="Microsoft Sans Serif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0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65">
    <xf numFmtId="0" fontId="0" fillId="0" borderId="0" xfId="0" applyAlignment="1">
      <alignment vertical="top"/>
      <protection locked="0"/>
    </xf>
    <xf numFmtId="0" fontId="1" fillId="0" borderId="0" xfId="0" applyFont="1" applyAlignment="1">
      <alignment vertical="top"/>
      <protection locked="0"/>
    </xf>
    <xf numFmtId="0" fontId="1" fillId="0" borderId="0" xfId="0" applyFont="1" applyFill="1" applyAlignment="1">
      <alignment horizontal="center" vertical="center"/>
      <protection locked="0"/>
    </xf>
    <xf numFmtId="0" fontId="1" fillId="2" borderId="0" xfId="0" applyFont="1" applyFill="1" applyAlignment="1" applyProtection="1">
      <alignment vertical="top"/>
    </xf>
    <xf numFmtId="180" fontId="1" fillId="2" borderId="0" xfId="0" applyNumberFormat="1" applyFont="1" applyFill="1" applyAlignment="1" applyProtection="1">
      <alignment vertical="top"/>
    </xf>
    <xf numFmtId="49" fontId="1" fillId="2" borderId="0" xfId="0" applyNumberFormat="1" applyFont="1" applyFill="1" applyAlignment="1" applyProtection="1">
      <alignment vertical="top"/>
    </xf>
    <xf numFmtId="181" fontId="1" fillId="2" borderId="0" xfId="0" applyNumberFormat="1" applyFont="1" applyFill="1" applyAlignment="1" applyProtection="1">
      <alignment vertical="top"/>
    </xf>
    <xf numFmtId="0" fontId="1" fillId="3" borderId="0" xfId="0" applyFont="1" applyFill="1" applyAlignment="1" applyProtection="1">
      <alignment vertical="top"/>
    </xf>
    <xf numFmtId="180" fontId="1" fillId="3" borderId="0" xfId="0" applyNumberFormat="1" applyFont="1" applyFill="1" applyAlignment="1" applyProtection="1">
      <alignment vertical="top"/>
    </xf>
    <xf numFmtId="49" fontId="1" fillId="3" borderId="0" xfId="0" applyNumberFormat="1" applyFont="1" applyFill="1" applyAlignment="1" applyProtection="1">
      <alignment vertical="top"/>
    </xf>
    <xf numFmtId="181" fontId="1" fillId="3" borderId="0" xfId="0" applyNumberFormat="1" applyFont="1" applyFill="1" applyAlignment="1" applyProtection="1">
      <alignment vertical="top"/>
    </xf>
    <xf numFmtId="0" fontId="1" fillId="4" borderId="0" xfId="0" applyFont="1" applyFill="1" applyAlignment="1" applyProtection="1">
      <alignment vertical="top"/>
    </xf>
    <xf numFmtId="180" fontId="1" fillId="4" borderId="0" xfId="0" applyNumberFormat="1" applyFont="1" applyFill="1" applyAlignment="1" applyProtection="1">
      <alignment vertical="top"/>
    </xf>
    <xf numFmtId="49" fontId="1" fillId="4" borderId="0" xfId="0" applyNumberFormat="1" applyFont="1" applyFill="1" applyAlignment="1" applyProtection="1">
      <alignment vertical="top"/>
    </xf>
    <xf numFmtId="181" fontId="1" fillId="4" borderId="0" xfId="0" applyNumberFormat="1" applyFont="1" applyFill="1" applyAlignment="1" applyProtection="1">
      <alignment vertical="top"/>
    </xf>
    <xf numFmtId="0" fontId="1" fillId="5" borderId="0" xfId="0" applyFont="1" applyFill="1" applyAlignment="1" applyProtection="1">
      <alignment vertical="top"/>
    </xf>
    <xf numFmtId="180" fontId="1" fillId="5" borderId="0" xfId="0" applyNumberFormat="1" applyFont="1" applyFill="1" applyAlignment="1" applyProtection="1">
      <alignment vertical="top"/>
    </xf>
    <xf numFmtId="49" fontId="1" fillId="5" borderId="0" xfId="0" applyNumberFormat="1" applyFont="1" applyFill="1" applyAlignment="1" applyProtection="1">
      <alignment vertical="top"/>
    </xf>
    <xf numFmtId="181" fontId="1" fillId="5" borderId="0" xfId="0" applyNumberFormat="1" applyFont="1" applyFill="1" applyAlignment="1" applyProtection="1">
      <alignment vertical="top"/>
    </xf>
    <xf numFmtId="0" fontId="1" fillId="6" borderId="0" xfId="0" applyFont="1" applyFill="1" applyAlignment="1" applyProtection="1">
      <alignment vertical="top"/>
    </xf>
    <xf numFmtId="180" fontId="1" fillId="6" borderId="0" xfId="0" applyNumberFormat="1" applyFont="1" applyFill="1" applyAlignment="1" applyProtection="1">
      <alignment vertical="top"/>
    </xf>
    <xf numFmtId="49" fontId="1" fillId="6" borderId="0" xfId="0" applyNumberFormat="1" applyFont="1" applyFill="1" applyAlignment="1" applyProtection="1">
      <alignment vertical="top"/>
    </xf>
    <xf numFmtId="181" fontId="1" fillId="6" borderId="0" xfId="0" applyNumberFormat="1" applyFont="1" applyFill="1" applyAlignment="1" applyProtection="1">
      <alignment vertical="top"/>
    </xf>
    <xf numFmtId="0" fontId="1" fillId="7" borderId="0" xfId="0" applyFont="1" applyFill="1" applyAlignment="1" applyProtection="1">
      <alignment vertical="top"/>
    </xf>
    <xf numFmtId="180" fontId="1" fillId="7" borderId="0" xfId="0" applyNumberFormat="1" applyFont="1" applyFill="1" applyAlignment="1" applyProtection="1">
      <alignment vertical="top"/>
    </xf>
    <xf numFmtId="49" fontId="1" fillId="7" borderId="0" xfId="0" applyNumberFormat="1" applyFont="1" applyFill="1" applyAlignment="1" applyProtection="1">
      <alignment vertical="top"/>
    </xf>
    <xf numFmtId="181" fontId="1" fillId="7" borderId="0" xfId="0" applyNumberFormat="1" applyFont="1" applyFill="1" applyAlignment="1" applyProtection="1">
      <alignment vertical="top"/>
    </xf>
    <xf numFmtId="180" fontId="1" fillId="0" borderId="0" xfId="0" applyNumberFormat="1" applyFont="1" applyAlignment="1">
      <alignment vertical="top"/>
      <protection locked="0"/>
    </xf>
    <xf numFmtId="49" fontId="1" fillId="0" borderId="0" xfId="0" applyNumberFormat="1" applyFont="1" applyAlignment="1">
      <alignment vertical="top"/>
      <protection locked="0"/>
    </xf>
    <xf numFmtId="181" fontId="1" fillId="0" borderId="0" xfId="0" applyNumberFormat="1" applyFont="1" applyAlignment="1">
      <alignment vertical="top"/>
      <protection locked="0"/>
    </xf>
    <xf numFmtId="0" fontId="0" fillId="0" borderId="0" xfId="0" applyFont="1" applyFill="1" applyAlignment="1">
      <alignment horizontal="center" vertical="center"/>
      <protection locked="0"/>
    </xf>
    <xf numFmtId="0" fontId="2" fillId="7" borderId="0" xfId="0" applyFont="1" applyFill="1" applyAlignment="1" applyProtection="1">
      <alignment vertical="top"/>
    </xf>
    <xf numFmtId="183" fontId="2" fillId="7" borderId="0" xfId="0" applyNumberFormat="1" applyFont="1" applyFill="1" applyAlignment="1" applyProtection="1">
      <alignment vertical="top"/>
    </xf>
    <xf numFmtId="49" fontId="2" fillId="7" borderId="0" xfId="0" applyNumberFormat="1" applyFont="1" applyFill="1" applyAlignment="1" applyProtection="1">
      <alignment horizontal="center" vertical="top"/>
    </xf>
    <xf numFmtId="0" fontId="2" fillId="5" borderId="0" xfId="0" applyFont="1" applyFill="1" applyAlignment="1" applyProtection="1">
      <alignment vertical="top"/>
    </xf>
    <xf numFmtId="0" fontId="2" fillId="5" borderId="0" xfId="0" applyFont="1" applyFill="1" applyAlignment="1" applyProtection="1">
      <alignment horizontal="center" vertical="top"/>
    </xf>
    <xf numFmtId="0" fontId="2" fillId="4" borderId="0" xfId="0" applyFont="1" applyFill="1" applyAlignment="1" applyProtection="1">
      <alignment vertical="top"/>
    </xf>
    <xf numFmtId="0" fontId="2" fillId="4" borderId="0" xfId="0" applyFont="1" applyFill="1" applyAlignment="1" applyProtection="1">
      <alignment horizontal="center" vertical="top"/>
    </xf>
    <xf numFmtId="180" fontId="1" fillId="7" borderId="0" xfId="0" applyNumberFormat="1" applyFont="1" applyFill="1" applyAlignment="1" applyProtection="1">
      <alignment horizontal="center" vertical="top"/>
    </xf>
    <xf numFmtId="0" fontId="0" fillId="0" borderId="0" xfId="0" applyFont="1" applyFill="1" applyAlignment="1">
      <alignment horizontal="left" vertical="center"/>
      <protection locked="0"/>
    </xf>
    <xf numFmtId="0" fontId="2" fillId="0" borderId="0" xfId="0" applyFont="1" applyFill="1" applyAlignment="1">
      <alignment horizontal="center" vertical="center"/>
      <protection locked="0"/>
    </xf>
    <xf numFmtId="0" fontId="6" fillId="0" borderId="0" xfId="0" applyFont="1" applyFill="1" applyAlignment="1">
      <alignment horizontal="center" vertical="center"/>
      <protection locked="0"/>
    </xf>
    <xf numFmtId="180" fontId="0" fillId="0" borderId="0" xfId="0" applyNumberFormat="1" applyAlignment="1">
      <alignment vertical="top"/>
      <protection locked="0"/>
    </xf>
    <xf numFmtId="180" fontId="3" fillId="0" borderId="0" xfId="0" applyNumberFormat="1" applyFont="1" applyAlignment="1">
      <alignment vertical="top"/>
      <protection locked="0"/>
    </xf>
    <xf numFmtId="49" fontId="0" fillId="0" borderId="0" xfId="0" applyNumberFormat="1" applyAlignment="1">
      <alignment vertical="top"/>
      <protection locked="0"/>
    </xf>
    <xf numFmtId="181" fontId="0" fillId="0" borderId="0" xfId="0" applyNumberFormat="1" applyAlignment="1">
      <alignment vertical="top"/>
      <protection locked="0"/>
    </xf>
    <xf numFmtId="180" fontId="4" fillId="0" borderId="0" xfId="0" applyNumberFormat="1" applyFont="1" applyAlignment="1">
      <alignment vertical="top"/>
      <protection locked="0"/>
    </xf>
    <xf numFmtId="49" fontId="4" fillId="0" borderId="0" xfId="0" applyNumberFormat="1" applyFont="1" applyAlignment="1">
      <alignment vertical="top"/>
      <protection locked="0"/>
    </xf>
    <xf numFmtId="14" fontId="1" fillId="0" borderId="0" xfId="0" applyNumberFormat="1" applyFont="1" applyAlignment="1">
      <alignment vertical="top"/>
      <protection locked="0"/>
    </xf>
    <xf numFmtId="0" fontId="0" fillId="0" borderId="0" xfId="0" applyProtection="1"/>
    <xf numFmtId="14" fontId="0" fillId="0" borderId="0" xfId="0" applyNumberFormat="1" applyProtection="1"/>
    <xf numFmtId="0" fontId="7" fillId="8" borderId="0" xfId="0" applyFont="1" applyFill="1" applyProtection="1"/>
    <xf numFmtId="183" fontId="7" fillId="8" borderId="0" xfId="0" applyNumberFormat="1" applyFont="1" applyFill="1" applyProtection="1"/>
    <xf numFmtId="0" fontId="8" fillId="0" borderId="0" xfId="0" applyFont="1" applyProtection="1"/>
    <xf numFmtId="0" fontId="8" fillId="0" borderId="0" xfId="0" applyFont="1" applyAlignment="1" applyProtection="1">
      <alignment horizontal="right"/>
    </xf>
    <xf numFmtId="0" fontId="8" fillId="0" borderId="0" xfId="0" applyFont="1" applyAlignment="1" applyProtection="1">
      <alignment vertical="center"/>
    </xf>
    <xf numFmtId="22" fontId="0" fillId="0" borderId="0" xfId="0" applyNumberFormat="1" applyProtection="1"/>
    <xf numFmtId="1" fontId="7" fillId="8" borderId="0" xfId="0" applyNumberFormat="1" applyFont="1" applyFill="1" applyProtection="1"/>
    <xf numFmtId="183" fontId="0" fillId="0" borderId="0" xfId="0" applyNumberFormat="1" applyProtection="1"/>
    <xf numFmtId="184" fontId="0" fillId="0" borderId="0" xfId="0" applyNumberFormat="1" applyProtection="1"/>
    <xf numFmtId="181" fontId="0" fillId="0" borderId="0" xfId="0" applyNumberFormat="1" applyProtection="1"/>
    <xf numFmtId="183" fontId="7" fillId="9" borderId="0" xfId="0" applyNumberFormat="1" applyFont="1" applyFill="1" applyProtection="1"/>
    <xf numFmtId="183" fontId="7" fillId="10" borderId="0" xfId="0" applyNumberFormat="1" applyFont="1" applyFill="1" applyProtection="1"/>
    <xf numFmtId="180" fontId="5" fillId="0" borderId="0" xfId="0" applyNumberFormat="1" applyFont="1" applyAlignment="1">
      <alignment vertical="top"/>
      <protection locked="0"/>
    </xf>
    <xf numFmtId="0" fontId="5" fillId="0" borderId="0" xfId="0" applyFont="1" applyProtection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31A0-D3E0-407F-A8ED-3DCDE20D219E}">
  <dimension ref="A1:Q103"/>
  <sheetViews>
    <sheetView tabSelected="1" workbookViewId="0">
      <pane ySplit="5" topLeftCell="A6" activePane="bottomLeft" state="frozenSplit"/>
      <selection pane="bottomLeft" activeCell="N1" sqref="N1"/>
    </sheetView>
  </sheetViews>
  <sheetFormatPr defaultColWidth="10" defaultRowHeight="15" customHeight="1" x14ac:dyDescent="0.2"/>
  <cols>
    <col min="1" max="1" width="17.25" style="27" customWidth="1"/>
    <col min="2" max="2" width="12.25" style="27" customWidth="1"/>
    <col min="3" max="3" width="12.25" style="28" customWidth="1"/>
    <col min="4" max="4" width="15.25" style="28" customWidth="1"/>
    <col min="5" max="5" width="14.5" style="28" bestFit="1" customWidth="1"/>
    <col min="6" max="6" width="44.25" style="29" customWidth="1"/>
    <col min="7" max="7" width="17.25" style="29" bestFit="1" customWidth="1"/>
    <col min="8" max="8" width="17.25" style="28" hidden="1" customWidth="1"/>
    <col min="9" max="9" width="10" style="1"/>
    <col min="10" max="10" width="10.75" style="1" bestFit="1" customWidth="1"/>
    <col min="11" max="12" width="10" style="1"/>
    <col min="13" max="13" width="13.5" style="1" bestFit="1" customWidth="1"/>
    <col min="14" max="16384" width="10" style="1"/>
  </cols>
  <sheetData>
    <row r="1" spans="1:17" ht="24.6" x14ac:dyDescent="0.2">
      <c r="A1" s="43" t="s">
        <v>119</v>
      </c>
      <c r="B1" s="63" t="s">
        <v>147</v>
      </c>
      <c r="C1" s="44"/>
      <c r="D1" s="44"/>
      <c r="E1" s="44"/>
      <c r="F1" s="45"/>
      <c r="G1" s="45"/>
      <c r="H1" s="44"/>
    </row>
    <row r="2" spans="1:17" ht="15" customHeight="1" x14ac:dyDescent="0.2">
      <c r="A2" s="42"/>
      <c r="B2" s="42"/>
      <c r="C2" s="44"/>
      <c r="D2" s="44"/>
      <c r="E2" s="44"/>
      <c r="F2" s="45"/>
      <c r="G2" s="45"/>
      <c r="H2" s="44"/>
    </row>
    <row r="3" spans="1:17" ht="15" customHeight="1" x14ac:dyDescent="0.2">
      <c r="A3" s="46" t="s">
        <v>120</v>
      </c>
      <c r="B3" s="46"/>
      <c r="C3" s="47" t="s">
        <v>121</v>
      </c>
      <c r="D3" s="47"/>
      <c r="E3" s="47"/>
      <c r="F3" s="47"/>
      <c r="G3" s="45" t="s">
        <v>122</v>
      </c>
      <c r="H3" s="44" t="s">
        <v>123</v>
      </c>
      <c r="I3" s="48">
        <v>43640</v>
      </c>
    </row>
    <row r="5" spans="1:17" s="2" customFormat="1" ht="34.5" customHeight="1" x14ac:dyDescent="0.2">
      <c r="A5" s="30" t="s">
        <v>111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J5" s="30" t="s">
        <v>113</v>
      </c>
      <c r="K5" s="39" t="s">
        <v>114</v>
      </c>
      <c r="L5" s="40"/>
      <c r="M5" s="30" t="s">
        <v>115</v>
      </c>
      <c r="N5" s="40"/>
      <c r="O5" s="41" t="s">
        <v>116</v>
      </c>
      <c r="P5" s="41" t="s">
        <v>117</v>
      </c>
      <c r="Q5" s="30" t="s">
        <v>118</v>
      </c>
    </row>
    <row r="6" spans="1:17" s="3" customFormat="1" ht="15" customHeight="1" x14ac:dyDescent="0.2">
      <c r="A6" s="4">
        <v>1</v>
      </c>
      <c r="B6" s="4">
        <v>0</v>
      </c>
      <c r="C6" s="5" t="s">
        <v>7</v>
      </c>
      <c r="D6" s="5" t="s">
        <v>7</v>
      </c>
      <c r="E6" s="5" t="s">
        <v>8</v>
      </c>
      <c r="F6" s="6">
        <v>-4.76</v>
      </c>
      <c r="G6" s="6">
        <v>0.6</v>
      </c>
      <c r="H6" s="5"/>
    </row>
    <row r="7" spans="1:17" s="7" customFormat="1" ht="15" customHeight="1" x14ac:dyDescent="0.2">
      <c r="A7" s="8">
        <v>1</v>
      </c>
      <c r="B7" s="8">
        <v>1</v>
      </c>
      <c r="C7" s="9" t="s">
        <v>9</v>
      </c>
      <c r="D7" s="9" t="s">
        <v>10</v>
      </c>
      <c r="E7" s="9" t="s">
        <v>11</v>
      </c>
      <c r="F7" s="10">
        <v>884.91</v>
      </c>
      <c r="G7" s="10">
        <v>98.75</v>
      </c>
      <c r="H7" s="9"/>
    </row>
    <row r="8" spans="1:17" s="11" customFormat="1" ht="15" customHeight="1" x14ac:dyDescent="0.2">
      <c r="A8" s="12">
        <v>1</v>
      </c>
      <c r="B8" s="12">
        <v>2</v>
      </c>
      <c r="C8" s="13" t="s">
        <v>12</v>
      </c>
      <c r="D8" s="13" t="s">
        <v>13</v>
      </c>
      <c r="E8" s="13" t="s">
        <v>14</v>
      </c>
      <c r="F8" s="14">
        <v>-4.76</v>
      </c>
      <c r="G8" s="14">
        <v>0.6</v>
      </c>
      <c r="H8" s="13"/>
    </row>
    <row r="9" spans="1:17" s="15" customFormat="1" ht="15" customHeight="1" x14ac:dyDescent="0.2">
      <c r="A9" s="16">
        <v>1</v>
      </c>
      <c r="B9" s="16">
        <v>3</v>
      </c>
      <c r="C9" s="17" t="s">
        <v>15</v>
      </c>
      <c r="D9" s="17" t="s">
        <v>16</v>
      </c>
      <c r="E9" s="17" t="s">
        <v>17</v>
      </c>
      <c r="F9" s="18">
        <v>538.53</v>
      </c>
      <c r="G9" s="18">
        <v>56.63</v>
      </c>
      <c r="H9" s="17"/>
    </row>
    <row r="10" spans="1:17" s="11" customFormat="1" ht="15" customHeight="1" x14ac:dyDescent="0.2">
      <c r="A10" s="12">
        <v>1</v>
      </c>
      <c r="B10" s="12">
        <v>4</v>
      </c>
      <c r="C10" s="13" t="s">
        <v>12</v>
      </c>
      <c r="D10" s="13" t="s">
        <v>13</v>
      </c>
      <c r="E10" s="13" t="s">
        <v>14</v>
      </c>
      <c r="F10" s="14">
        <v>-4.76</v>
      </c>
      <c r="G10" s="14">
        <v>0.6</v>
      </c>
      <c r="H10" s="13"/>
    </row>
    <row r="11" spans="1:17" s="19" customFormat="1" ht="15" customHeight="1" x14ac:dyDescent="0.2">
      <c r="A11" s="20">
        <v>1</v>
      </c>
      <c r="B11" s="20">
        <v>5</v>
      </c>
      <c r="C11" s="21" t="s">
        <v>18</v>
      </c>
      <c r="D11" s="21" t="s">
        <v>19</v>
      </c>
      <c r="E11" s="21" t="s">
        <v>20</v>
      </c>
      <c r="F11" s="22">
        <v>90.58</v>
      </c>
      <c r="G11" s="22">
        <v>11.91</v>
      </c>
      <c r="H11" s="21"/>
    </row>
    <row r="12" spans="1:17" s="19" customFormat="1" ht="15" customHeight="1" x14ac:dyDescent="0.2">
      <c r="A12" s="20">
        <v>1</v>
      </c>
      <c r="B12" s="20">
        <v>6</v>
      </c>
      <c r="C12" s="21" t="s">
        <v>21</v>
      </c>
      <c r="D12" s="21" t="s">
        <v>22</v>
      </c>
      <c r="E12" s="21" t="s">
        <v>23</v>
      </c>
      <c r="F12" s="22">
        <v>186.46</v>
      </c>
      <c r="G12" s="22">
        <v>19.61</v>
      </c>
      <c r="H12" s="21"/>
    </row>
    <row r="13" spans="1:17" s="19" customFormat="1" ht="15" customHeight="1" x14ac:dyDescent="0.2">
      <c r="A13" s="20">
        <v>1</v>
      </c>
      <c r="B13" s="20">
        <v>7</v>
      </c>
      <c r="C13" s="21" t="s">
        <v>24</v>
      </c>
      <c r="D13" s="21" t="s">
        <v>25</v>
      </c>
      <c r="E13" s="21" t="s">
        <v>26</v>
      </c>
      <c r="F13" s="22">
        <v>356.74</v>
      </c>
      <c r="G13" s="22">
        <v>37.93</v>
      </c>
      <c r="H13" s="21"/>
    </row>
    <row r="14" spans="1:17" s="19" customFormat="1" ht="15" customHeight="1" x14ac:dyDescent="0.2">
      <c r="A14" s="20">
        <v>1</v>
      </c>
      <c r="B14" s="20">
        <v>8</v>
      </c>
      <c r="C14" s="21" t="s">
        <v>15</v>
      </c>
      <c r="D14" s="21" t="s">
        <v>27</v>
      </c>
      <c r="E14" s="21" t="s">
        <v>28</v>
      </c>
      <c r="F14" s="22">
        <v>537.15</v>
      </c>
      <c r="G14" s="22">
        <v>56.92</v>
      </c>
      <c r="H14" s="21"/>
    </row>
    <row r="15" spans="1:17" s="19" customFormat="1" ht="15" customHeight="1" x14ac:dyDescent="0.2">
      <c r="A15" s="20">
        <v>1</v>
      </c>
      <c r="B15" s="20">
        <v>9</v>
      </c>
      <c r="C15" s="21" t="s">
        <v>29</v>
      </c>
      <c r="D15" s="21" t="s">
        <v>30</v>
      </c>
      <c r="E15" s="21" t="s">
        <v>31</v>
      </c>
      <c r="F15" s="22">
        <v>722.74</v>
      </c>
      <c r="G15" s="22">
        <v>75.790000000000006</v>
      </c>
      <c r="H15" s="21"/>
    </row>
    <row r="16" spans="1:17" s="19" customFormat="1" ht="15" customHeight="1" x14ac:dyDescent="0.2">
      <c r="A16" s="20">
        <v>1</v>
      </c>
      <c r="B16" s="20">
        <v>10</v>
      </c>
      <c r="C16" s="21" t="s">
        <v>9</v>
      </c>
      <c r="D16" s="21" t="s">
        <v>32</v>
      </c>
      <c r="E16" s="21" t="s">
        <v>33</v>
      </c>
      <c r="F16" s="22">
        <v>907.38</v>
      </c>
      <c r="G16" s="22">
        <v>101.16</v>
      </c>
      <c r="H16" s="21"/>
    </row>
    <row r="17" spans="1:17" s="15" customFormat="1" ht="15" customHeight="1" x14ac:dyDescent="0.2">
      <c r="A17" s="16">
        <v>1</v>
      </c>
      <c r="B17" s="16">
        <v>11</v>
      </c>
      <c r="C17" s="17" t="s">
        <v>15</v>
      </c>
      <c r="D17" s="17" t="s">
        <v>16</v>
      </c>
      <c r="E17" s="17" t="s">
        <v>17</v>
      </c>
      <c r="F17" s="18">
        <v>549.17999999999995</v>
      </c>
      <c r="G17" s="18">
        <v>57.27</v>
      </c>
      <c r="H17" s="17"/>
    </row>
    <row r="18" spans="1:17" s="11" customFormat="1" ht="15" customHeight="1" x14ac:dyDescent="0.2">
      <c r="A18" s="12">
        <v>1</v>
      </c>
      <c r="B18" s="12">
        <v>12</v>
      </c>
      <c r="C18" s="13" t="s">
        <v>12</v>
      </c>
      <c r="D18" s="13" t="s">
        <v>13</v>
      </c>
      <c r="E18" s="13" t="s">
        <v>14</v>
      </c>
      <c r="F18" s="14">
        <v>-4.76</v>
      </c>
      <c r="G18" s="14">
        <v>0.6</v>
      </c>
      <c r="H18" s="13"/>
    </row>
    <row r="19" spans="1:17" s="23" customFormat="1" ht="15" customHeight="1" x14ac:dyDescent="0.2">
      <c r="A19" s="24">
        <v>1</v>
      </c>
      <c r="B19" s="24">
        <v>13</v>
      </c>
      <c r="C19" s="25" t="s">
        <v>34</v>
      </c>
      <c r="D19" s="25" t="s">
        <v>35</v>
      </c>
      <c r="E19" s="25" t="s">
        <v>36</v>
      </c>
      <c r="F19" s="26">
        <v>516.83000000000004</v>
      </c>
      <c r="G19" s="26">
        <v>101.64</v>
      </c>
      <c r="H19" s="25"/>
      <c r="K19" s="31">
        <v>10</v>
      </c>
      <c r="L19" s="31"/>
      <c r="M19" s="31">
        <v>20</v>
      </c>
      <c r="N19" s="31"/>
      <c r="O19" s="32">
        <f>F19/1000*K19*M19</f>
        <v>103.36600000000001</v>
      </c>
      <c r="P19" s="32">
        <f>G19/1000*K19*M19</f>
        <v>20.327999999999999</v>
      </c>
      <c r="Q19" s="33">
        <v>1</v>
      </c>
    </row>
    <row r="20" spans="1:17" s="23" customFormat="1" ht="15" customHeight="1" x14ac:dyDescent="0.2">
      <c r="A20" s="24">
        <v>1</v>
      </c>
      <c r="B20" s="24">
        <v>14</v>
      </c>
      <c r="C20" s="25" t="s">
        <v>34</v>
      </c>
      <c r="D20" s="25" t="s">
        <v>35</v>
      </c>
      <c r="E20" s="25" t="s">
        <v>36</v>
      </c>
      <c r="F20" s="26">
        <v>519.83000000000004</v>
      </c>
      <c r="G20" s="26">
        <v>102.51</v>
      </c>
      <c r="H20" s="25"/>
      <c r="K20" s="31">
        <v>10</v>
      </c>
      <c r="L20" s="31"/>
      <c r="M20" s="31">
        <v>20</v>
      </c>
      <c r="N20" s="31"/>
      <c r="O20" s="32">
        <f t="shared" ref="O20:O38" si="0">F20/1000*K20*M20</f>
        <v>103.96599999999999</v>
      </c>
      <c r="P20" s="32">
        <f t="shared" ref="P20:P38" si="1">G20/1000*K20*M20</f>
        <v>20.502000000000002</v>
      </c>
      <c r="Q20" s="33">
        <v>1</v>
      </c>
    </row>
    <row r="21" spans="1:17" s="23" customFormat="1" ht="15" customHeight="1" x14ac:dyDescent="0.2">
      <c r="A21" s="24">
        <v>2</v>
      </c>
      <c r="B21" s="24">
        <v>15</v>
      </c>
      <c r="C21" s="25" t="s">
        <v>37</v>
      </c>
      <c r="D21" s="25" t="s">
        <v>35</v>
      </c>
      <c r="E21" s="25" t="s">
        <v>38</v>
      </c>
      <c r="F21" s="26">
        <v>196.54</v>
      </c>
      <c r="G21" s="26">
        <v>45.03</v>
      </c>
      <c r="H21" s="25"/>
      <c r="K21" s="31">
        <v>10</v>
      </c>
      <c r="L21" s="31"/>
      <c r="M21" s="31">
        <v>20</v>
      </c>
      <c r="N21" s="31"/>
      <c r="O21" s="32">
        <f t="shared" si="0"/>
        <v>39.307999999999993</v>
      </c>
      <c r="P21" s="32">
        <f t="shared" si="1"/>
        <v>9.0060000000000002</v>
      </c>
      <c r="Q21" s="33">
        <v>2</v>
      </c>
    </row>
    <row r="22" spans="1:17" s="23" customFormat="1" ht="15" customHeight="1" x14ac:dyDescent="0.2">
      <c r="A22" s="24">
        <v>2</v>
      </c>
      <c r="B22" s="24">
        <v>16</v>
      </c>
      <c r="C22" s="25" t="s">
        <v>37</v>
      </c>
      <c r="D22" s="25" t="s">
        <v>35</v>
      </c>
      <c r="E22" s="25" t="s">
        <v>38</v>
      </c>
      <c r="F22" s="26">
        <v>193.07</v>
      </c>
      <c r="G22" s="26">
        <v>44.83</v>
      </c>
      <c r="H22" s="25"/>
      <c r="K22" s="31">
        <v>10</v>
      </c>
      <c r="L22" s="31"/>
      <c r="M22" s="31">
        <v>20</v>
      </c>
      <c r="N22" s="31"/>
      <c r="O22" s="32">
        <f t="shared" si="0"/>
        <v>38.613999999999997</v>
      </c>
      <c r="P22" s="32">
        <f t="shared" si="1"/>
        <v>8.9659999999999975</v>
      </c>
      <c r="Q22" s="33">
        <v>2</v>
      </c>
    </row>
    <row r="23" spans="1:17" s="23" customFormat="1" ht="15" customHeight="1" x14ac:dyDescent="0.2">
      <c r="A23" s="24">
        <v>3</v>
      </c>
      <c r="B23" s="24">
        <v>17</v>
      </c>
      <c r="C23" s="25" t="s">
        <v>39</v>
      </c>
      <c r="D23" s="25" t="s">
        <v>35</v>
      </c>
      <c r="E23" s="25" t="s">
        <v>40</v>
      </c>
      <c r="F23" s="26">
        <v>149.22</v>
      </c>
      <c r="G23" s="26">
        <v>31.3</v>
      </c>
      <c r="H23" s="25"/>
      <c r="K23" s="31">
        <v>10</v>
      </c>
      <c r="L23" s="31"/>
      <c r="M23" s="31">
        <v>20</v>
      </c>
      <c r="N23" s="31"/>
      <c r="O23" s="32">
        <f t="shared" si="0"/>
        <v>29.844000000000001</v>
      </c>
      <c r="P23" s="32">
        <f t="shared" si="1"/>
        <v>6.26</v>
      </c>
      <c r="Q23" s="33">
        <v>3</v>
      </c>
    </row>
    <row r="24" spans="1:17" s="23" customFormat="1" ht="15" customHeight="1" x14ac:dyDescent="0.2">
      <c r="A24" s="24">
        <v>3</v>
      </c>
      <c r="B24" s="24">
        <v>18</v>
      </c>
      <c r="C24" s="25" t="s">
        <v>39</v>
      </c>
      <c r="D24" s="25" t="s">
        <v>35</v>
      </c>
      <c r="E24" s="25" t="s">
        <v>40</v>
      </c>
      <c r="F24" s="26">
        <v>149.58000000000001</v>
      </c>
      <c r="G24" s="26">
        <v>31.52</v>
      </c>
      <c r="H24" s="25"/>
      <c r="K24" s="31">
        <v>10</v>
      </c>
      <c r="L24" s="31"/>
      <c r="M24" s="31">
        <v>20</v>
      </c>
      <c r="N24" s="31"/>
      <c r="O24" s="32">
        <f t="shared" si="0"/>
        <v>29.916000000000004</v>
      </c>
      <c r="P24" s="32">
        <f t="shared" si="1"/>
        <v>6.3039999999999994</v>
      </c>
      <c r="Q24" s="33">
        <v>3</v>
      </c>
    </row>
    <row r="25" spans="1:17" s="23" customFormat="1" ht="15" customHeight="1" x14ac:dyDescent="0.2">
      <c r="A25" s="24">
        <v>4</v>
      </c>
      <c r="B25" s="24">
        <v>19</v>
      </c>
      <c r="C25" s="25" t="s">
        <v>41</v>
      </c>
      <c r="D25" s="25" t="s">
        <v>35</v>
      </c>
      <c r="E25" s="25" t="s">
        <v>42</v>
      </c>
      <c r="F25" s="26">
        <v>255.25</v>
      </c>
      <c r="G25" s="26">
        <v>58.36</v>
      </c>
      <c r="H25" s="25"/>
      <c r="K25" s="31">
        <v>10</v>
      </c>
      <c r="L25" s="31"/>
      <c r="M25" s="31">
        <v>20</v>
      </c>
      <c r="N25" s="31"/>
      <c r="O25" s="32">
        <f t="shared" si="0"/>
        <v>51.05</v>
      </c>
      <c r="P25" s="32">
        <f t="shared" si="1"/>
        <v>11.672000000000001</v>
      </c>
      <c r="Q25" s="33">
        <v>4</v>
      </c>
    </row>
    <row r="26" spans="1:17" s="23" customFormat="1" ht="15" customHeight="1" x14ac:dyDescent="0.2">
      <c r="A26" s="24">
        <v>4</v>
      </c>
      <c r="B26" s="24">
        <v>20</v>
      </c>
      <c r="C26" s="25" t="s">
        <v>41</v>
      </c>
      <c r="D26" s="25" t="s">
        <v>35</v>
      </c>
      <c r="E26" s="25" t="s">
        <v>42</v>
      </c>
      <c r="F26" s="26">
        <v>255.99</v>
      </c>
      <c r="G26" s="26">
        <v>58.61</v>
      </c>
      <c r="H26" s="25"/>
      <c r="K26" s="31">
        <v>10</v>
      </c>
      <c r="L26" s="31"/>
      <c r="M26" s="31">
        <v>20</v>
      </c>
      <c r="N26" s="31"/>
      <c r="O26" s="32">
        <f t="shared" si="0"/>
        <v>51.197999999999993</v>
      </c>
      <c r="P26" s="32">
        <f t="shared" si="1"/>
        <v>11.722000000000001</v>
      </c>
      <c r="Q26" s="33">
        <v>4</v>
      </c>
    </row>
    <row r="27" spans="1:17" s="23" customFormat="1" ht="15" customHeight="1" x14ac:dyDescent="0.2">
      <c r="A27" s="24">
        <v>5</v>
      </c>
      <c r="B27" s="24">
        <v>21</v>
      </c>
      <c r="C27" s="25" t="s">
        <v>43</v>
      </c>
      <c r="D27" s="25" t="s">
        <v>35</v>
      </c>
      <c r="E27" s="25" t="s">
        <v>44</v>
      </c>
      <c r="F27" s="26">
        <v>198.84</v>
      </c>
      <c r="G27" s="26">
        <v>38.799999999999997</v>
      </c>
      <c r="H27" s="25"/>
      <c r="K27" s="31">
        <v>10</v>
      </c>
      <c r="L27" s="31"/>
      <c r="M27" s="31">
        <v>20</v>
      </c>
      <c r="N27" s="31"/>
      <c r="O27" s="32">
        <f t="shared" si="0"/>
        <v>39.768000000000001</v>
      </c>
      <c r="P27" s="32">
        <f t="shared" si="1"/>
        <v>7.7599999999999989</v>
      </c>
      <c r="Q27" s="33">
        <v>5</v>
      </c>
    </row>
    <row r="28" spans="1:17" s="23" customFormat="1" ht="15" customHeight="1" x14ac:dyDescent="0.2">
      <c r="A28" s="24">
        <v>5</v>
      </c>
      <c r="B28" s="24">
        <v>22</v>
      </c>
      <c r="C28" s="25" t="s">
        <v>43</v>
      </c>
      <c r="D28" s="25" t="s">
        <v>35</v>
      </c>
      <c r="E28" s="25" t="s">
        <v>44</v>
      </c>
      <c r="F28" s="26">
        <v>195.61</v>
      </c>
      <c r="G28" s="26">
        <v>38.590000000000003</v>
      </c>
      <c r="H28" s="25"/>
      <c r="K28" s="31">
        <v>10</v>
      </c>
      <c r="L28" s="31"/>
      <c r="M28" s="31">
        <v>20</v>
      </c>
      <c r="N28" s="31"/>
      <c r="O28" s="32">
        <f t="shared" si="0"/>
        <v>39.122</v>
      </c>
      <c r="P28" s="32">
        <f t="shared" si="1"/>
        <v>7.7180000000000017</v>
      </c>
      <c r="Q28" s="33">
        <v>5</v>
      </c>
    </row>
    <row r="29" spans="1:17" s="23" customFormat="1" ht="15" customHeight="1" x14ac:dyDescent="0.2">
      <c r="A29" s="24">
        <v>6</v>
      </c>
      <c r="B29" s="24">
        <v>23</v>
      </c>
      <c r="C29" s="25" t="s">
        <v>45</v>
      </c>
      <c r="D29" s="25" t="s">
        <v>35</v>
      </c>
      <c r="E29" s="25" t="s">
        <v>46</v>
      </c>
      <c r="F29" s="26">
        <v>289.12</v>
      </c>
      <c r="G29" s="26">
        <v>63.35</v>
      </c>
      <c r="H29" s="25"/>
      <c r="K29" s="31">
        <v>10</v>
      </c>
      <c r="L29" s="31"/>
      <c r="M29" s="31">
        <v>20</v>
      </c>
      <c r="N29" s="31"/>
      <c r="O29" s="32">
        <f t="shared" si="0"/>
        <v>57.823999999999998</v>
      </c>
      <c r="P29" s="32">
        <f t="shared" si="1"/>
        <v>12.670000000000002</v>
      </c>
      <c r="Q29" s="33">
        <v>6</v>
      </c>
    </row>
    <row r="30" spans="1:17" s="23" customFormat="1" ht="15" customHeight="1" x14ac:dyDescent="0.2">
      <c r="A30" s="24">
        <v>6</v>
      </c>
      <c r="B30" s="24">
        <v>24</v>
      </c>
      <c r="C30" s="25" t="s">
        <v>45</v>
      </c>
      <c r="D30" s="25" t="s">
        <v>35</v>
      </c>
      <c r="E30" s="25" t="s">
        <v>46</v>
      </c>
      <c r="F30" s="26">
        <v>289.38</v>
      </c>
      <c r="G30" s="26">
        <v>61.65</v>
      </c>
      <c r="H30" s="25"/>
      <c r="K30" s="31">
        <v>10</v>
      </c>
      <c r="L30" s="31"/>
      <c r="M30" s="31">
        <v>20</v>
      </c>
      <c r="N30" s="31"/>
      <c r="O30" s="32">
        <f t="shared" si="0"/>
        <v>57.875999999999991</v>
      </c>
      <c r="P30" s="32">
        <f t="shared" si="1"/>
        <v>12.329999999999998</v>
      </c>
      <c r="Q30" s="33">
        <v>6</v>
      </c>
    </row>
    <row r="31" spans="1:17" s="23" customFormat="1" ht="15" customHeight="1" x14ac:dyDescent="0.2">
      <c r="A31" s="24">
        <v>7</v>
      </c>
      <c r="B31" s="24">
        <v>25</v>
      </c>
      <c r="C31" s="25" t="s">
        <v>47</v>
      </c>
      <c r="D31" s="25" t="s">
        <v>35</v>
      </c>
      <c r="E31" s="25" t="s">
        <v>48</v>
      </c>
      <c r="F31" s="26">
        <v>491.25</v>
      </c>
      <c r="G31" s="26">
        <v>90.1</v>
      </c>
      <c r="H31" s="25"/>
      <c r="K31" s="31">
        <v>10</v>
      </c>
      <c r="L31" s="31"/>
      <c r="M31" s="31">
        <v>20</v>
      </c>
      <c r="N31" s="31"/>
      <c r="O31" s="32">
        <f t="shared" si="0"/>
        <v>98.250000000000014</v>
      </c>
      <c r="P31" s="32">
        <f t="shared" si="1"/>
        <v>18.02</v>
      </c>
      <c r="Q31" s="33">
        <v>7</v>
      </c>
    </row>
    <row r="32" spans="1:17" s="23" customFormat="1" ht="15" customHeight="1" x14ac:dyDescent="0.2">
      <c r="A32" s="24">
        <v>7</v>
      </c>
      <c r="B32" s="24">
        <v>26</v>
      </c>
      <c r="C32" s="25" t="s">
        <v>47</v>
      </c>
      <c r="D32" s="25" t="s">
        <v>35</v>
      </c>
      <c r="E32" s="25" t="s">
        <v>48</v>
      </c>
      <c r="F32" s="26">
        <v>490.11</v>
      </c>
      <c r="G32" s="26">
        <v>90.04</v>
      </c>
      <c r="H32" s="25"/>
      <c r="K32" s="31">
        <v>10</v>
      </c>
      <c r="L32" s="31"/>
      <c r="M32" s="31">
        <v>20</v>
      </c>
      <c r="N32" s="31"/>
      <c r="O32" s="32">
        <f t="shared" si="0"/>
        <v>98.021999999999991</v>
      </c>
      <c r="P32" s="32">
        <f t="shared" si="1"/>
        <v>18.008000000000003</v>
      </c>
      <c r="Q32" s="33">
        <v>7</v>
      </c>
    </row>
    <row r="33" spans="1:17" s="23" customFormat="1" ht="15" customHeight="1" x14ac:dyDescent="0.2">
      <c r="A33" s="24">
        <v>8</v>
      </c>
      <c r="B33" s="24">
        <v>27</v>
      </c>
      <c r="C33" s="25" t="s">
        <v>49</v>
      </c>
      <c r="D33" s="25" t="s">
        <v>35</v>
      </c>
      <c r="E33" s="25" t="s">
        <v>50</v>
      </c>
      <c r="F33" s="26">
        <v>277.51</v>
      </c>
      <c r="G33" s="26">
        <v>57.45</v>
      </c>
      <c r="H33" s="25"/>
      <c r="K33" s="31">
        <v>10</v>
      </c>
      <c r="L33" s="31"/>
      <c r="M33" s="31">
        <v>20</v>
      </c>
      <c r="N33" s="31"/>
      <c r="O33" s="32">
        <f t="shared" si="0"/>
        <v>55.501999999999995</v>
      </c>
      <c r="P33" s="32">
        <f t="shared" si="1"/>
        <v>11.49</v>
      </c>
      <c r="Q33" s="33">
        <v>8</v>
      </c>
    </row>
    <row r="34" spans="1:17" s="23" customFormat="1" ht="15" customHeight="1" x14ac:dyDescent="0.2">
      <c r="A34" s="24">
        <v>8</v>
      </c>
      <c r="B34" s="24">
        <v>28</v>
      </c>
      <c r="C34" s="25" t="s">
        <v>49</v>
      </c>
      <c r="D34" s="25" t="s">
        <v>35</v>
      </c>
      <c r="E34" s="25" t="s">
        <v>50</v>
      </c>
      <c r="F34" s="26">
        <v>278.08</v>
      </c>
      <c r="G34" s="26">
        <v>57.29</v>
      </c>
      <c r="H34" s="25"/>
      <c r="K34" s="31">
        <v>10</v>
      </c>
      <c r="L34" s="31"/>
      <c r="M34" s="31">
        <v>20</v>
      </c>
      <c r="N34" s="31"/>
      <c r="O34" s="32">
        <f t="shared" si="0"/>
        <v>55.616</v>
      </c>
      <c r="P34" s="32">
        <f t="shared" si="1"/>
        <v>11.457999999999998</v>
      </c>
      <c r="Q34" s="33">
        <v>8</v>
      </c>
    </row>
    <row r="35" spans="1:17" s="23" customFormat="1" ht="15" customHeight="1" x14ac:dyDescent="0.2">
      <c r="A35" s="24">
        <v>9</v>
      </c>
      <c r="B35" s="24">
        <v>29</v>
      </c>
      <c r="C35" s="25" t="s">
        <v>51</v>
      </c>
      <c r="D35" s="25" t="s">
        <v>35</v>
      </c>
      <c r="E35" s="25" t="s">
        <v>52</v>
      </c>
      <c r="F35" s="26">
        <v>265.14</v>
      </c>
      <c r="G35" s="26">
        <v>45.69</v>
      </c>
      <c r="H35" s="25"/>
      <c r="K35" s="31">
        <v>10</v>
      </c>
      <c r="L35" s="31"/>
      <c r="M35" s="31">
        <v>20</v>
      </c>
      <c r="N35" s="31"/>
      <c r="O35" s="32">
        <f t="shared" si="0"/>
        <v>53.027999999999992</v>
      </c>
      <c r="P35" s="32">
        <f t="shared" si="1"/>
        <v>9.1379999999999999</v>
      </c>
      <c r="Q35" s="33">
        <v>9</v>
      </c>
    </row>
    <row r="36" spans="1:17" s="23" customFormat="1" ht="15" customHeight="1" x14ac:dyDescent="0.2">
      <c r="A36" s="24">
        <v>9</v>
      </c>
      <c r="B36" s="24">
        <v>30</v>
      </c>
      <c r="C36" s="25" t="s">
        <v>51</v>
      </c>
      <c r="D36" s="25" t="s">
        <v>35</v>
      </c>
      <c r="E36" s="25" t="s">
        <v>52</v>
      </c>
      <c r="F36" s="26">
        <v>267.85000000000002</v>
      </c>
      <c r="G36" s="26">
        <v>45.48</v>
      </c>
      <c r="H36" s="25"/>
      <c r="K36" s="31">
        <v>10</v>
      </c>
      <c r="L36" s="31"/>
      <c r="M36" s="31">
        <v>20</v>
      </c>
      <c r="N36" s="31"/>
      <c r="O36" s="32">
        <f t="shared" si="0"/>
        <v>53.570000000000007</v>
      </c>
      <c r="P36" s="32">
        <f t="shared" si="1"/>
        <v>9.0960000000000001</v>
      </c>
      <c r="Q36" s="33">
        <v>9</v>
      </c>
    </row>
    <row r="37" spans="1:17" s="23" customFormat="1" ht="15" customHeight="1" x14ac:dyDescent="0.2">
      <c r="A37" s="24">
        <v>10</v>
      </c>
      <c r="B37" s="24">
        <v>31</v>
      </c>
      <c r="C37" s="25" t="s">
        <v>53</v>
      </c>
      <c r="D37" s="25" t="s">
        <v>35</v>
      </c>
      <c r="E37" s="25" t="s">
        <v>54</v>
      </c>
      <c r="F37" s="26">
        <v>326.89</v>
      </c>
      <c r="G37" s="26">
        <v>70.48</v>
      </c>
      <c r="H37" s="25"/>
      <c r="K37" s="31">
        <v>10</v>
      </c>
      <c r="L37" s="31"/>
      <c r="M37" s="31">
        <v>20</v>
      </c>
      <c r="N37" s="31"/>
      <c r="O37" s="32">
        <f t="shared" si="0"/>
        <v>65.378000000000014</v>
      </c>
      <c r="P37" s="32">
        <f t="shared" si="1"/>
        <v>14.096</v>
      </c>
      <c r="Q37" s="33">
        <v>10</v>
      </c>
    </row>
    <row r="38" spans="1:17" s="23" customFormat="1" ht="15" customHeight="1" x14ac:dyDescent="0.2">
      <c r="A38" s="24">
        <v>10</v>
      </c>
      <c r="B38" s="24">
        <v>32</v>
      </c>
      <c r="C38" s="25" t="s">
        <v>53</v>
      </c>
      <c r="D38" s="25" t="s">
        <v>35</v>
      </c>
      <c r="E38" s="25" t="s">
        <v>54</v>
      </c>
      <c r="F38" s="26">
        <v>326.81</v>
      </c>
      <c r="G38" s="26">
        <v>70.12</v>
      </c>
      <c r="H38" s="25"/>
      <c r="K38" s="31">
        <v>10</v>
      </c>
      <c r="L38" s="31"/>
      <c r="M38" s="31">
        <v>20</v>
      </c>
      <c r="N38" s="31"/>
      <c r="O38" s="32">
        <f t="shared" si="0"/>
        <v>65.361999999999995</v>
      </c>
      <c r="P38" s="32">
        <f t="shared" si="1"/>
        <v>14.024000000000001</v>
      </c>
      <c r="Q38" s="33">
        <v>10</v>
      </c>
    </row>
    <row r="39" spans="1:17" s="15" customFormat="1" ht="15" customHeight="1" x14ac:dyDescent="0.2">
      <c r="A39" s="16">
        <v>1</v>
      </c>
      <c r="B39" s="16">
        <v>33</v>
      </c>
      <c r="C39" s="17" t="s">
        <v>15</v>
      </c>
      <c r="D39" s="17" t="s">
        <v>16</v>
      </c>
      <c r="E39" s="17" t="s">
        <v>17</v>
      </c>
      <c r="F39" s="18">
        <v>544.34</v>
      </c>
      <c r="G39" s="18">
        <v>56.64</v>
      </c>
      <c r="H39" s="17"/>
      <c r="K39" s="34"/>
      <c r="L39" s="34"/>
      <c r="M39" s="34"/>
      <c r="N39" s="34"/>
      <c r="O39" s="34"/>
      <c r="P39" s="34"/>
      <c r="Q39" s="35"/>
    </row>
    <row r="40" spans="1:17" s="11" customFormat="1" ht="15" customHeight="1" x14ac:dyDescent="0.2">
      <c r="A40" s="12">
        <v>1</v>
      </c>
      <c r="B40" s="12">
        <v>34</v>
      </c>
      <c r="C40" s="13" t="s">
        <v>12</v>
      </c>
      <c r="D40" s="13" t="s">
        <v>13</v>
      </c>
      <c r="E40" s="13" t="s">
        <v>14</v>
      </c>
      <c r="F40" s="14">
        <v>-4.76</v>
      </c>
      <c r="G40" s="14">
        <v>0.6</v>
      </c>
      <c r="H40" s="13"/>
      <c r="K40" s="36"/>
      <c r="L40" s="36"/>
      <c r="M40" s="36"/>
      <c r="N40" s="36"/>
      <c r="O40" s="36"/>
      <c r="P40" s="36"/>
      <c r="Q40" s="37"/>
    </row>
    <row r="41" spans="1:17" s="23" customFormat="1" ht="15" customHeight="1" x14ac:dyDescent="0.2">
      <c r="A41" s="24">
        <v>11</v>
      </c>
      <c r="B41" s="24">
        <v>35</v>
      </c>
      <c r="C41" s="25" t="s">
        <v>55</v>
      </c>
      <c r="D41" s="25" t="s">
        <v>35</v>
      </c>
      <c r="E41" s="25" t="s">
        <v>56</v>
      </c>
      <c r="F41" s="26">
        <v>277.12</v>
      </c>
      <c r="G41" s="26">
        <v>46.45</v>
      </c>
      <c r="H41" s="25"/>
      <c r="K41" s="31">
        <v>10</v>
      </c>
      <c r="L41" s="31"/>
      <c r="M41" s="31">
        <v>20</v>
      </c>
      <c r="N41" s="31"/>
      <c r="O41" s="32">
        <f>F41/1000*K41*M41</f>
        <v>55.423999999999999</v>
      </c>
      <c r="P41" s="32">
        <f>G41/1000*K41*M41</f>
        <v>9.2900000000000009</v>
      </c>
      <c r="Q41" s="33" t="s">
        <v>56</v>
      </c>
    </row>
    <row r="42" spans="1:17" s="23" customFormat="1" ht="15" customHeight="1" x14ac:dyDescent="0.2">
      <c r="A42" s="24">
        <v>11</v>
      </c>
      <c r="B42" s="24">
        <v>36</v>
      </c>
      <c r="C42" s="25" t="s">
        <v>55</v>
      </c>
      <c r="D42" s="25" t="s">
        <v>35</v>
      </c>
      <c r="E42" s="25" t="s">
        <v>56</v>
      </c>
      <c r="F42" s="26">
        <v>276.49</v>
      </c>
      <c r="G42" s="26">
        <v>46.72</v>
      </c>
      <c r="H42" s="25"/>
      <c r="K42" s="31">
        <v>10</v>
      </c>
      <c r="L42" s="31"/>
      <c r="M42" s="31">
        <v>20</v>
      </c>
      <c r="N42" s="31"/>
      <c r="O42" s="32">
        <f t="shared" ref="O42:O60" si="2">F42/1000*K42*M42</f>
        <v>55.298000000000002</v>
      </c>
      <c r="P42" s="32">
        <f t="shared" ref="P42:P60" si="3">G42/1000*K42*M42</f>
        <v>9.3439999999999994</v>
      </c>
      <c r="Q42" s="33" t="s">
        <v>56</v>
      </c>
    </row>
    <row r="43" spans="1:17" s="23" customFormat="1" ht="15" customHeight="1" x14ac:dyDescent="0.2">
      <c r="A43" s="24">
        <v>14</v>
      </c>
      <c r="B43" s="24">
        <v>41</v>
      </c>
      <c r="C43" s="25" t="s">
        <v>57</v>
      </c>
      <c r="D43" s="25" t="s">
        <v>35</v>
      </c>
      <c r="E43" s="25" t="s">
        <v>58</v>
      </c>
      <c r="F43" s="26">
        <v>541.83000000000004</v>
      </c>
      <c r="G43" s="26">
        <v>124.35</v>
      </c>
      <c r="H43" s="25"/>
      <c r="K43" s="31">
        <v>10</v>
      </c>
      <c r="L43" s="31"/>
      <c r="M43" s="31">
        <v>20</v>
      </c>
      <c r="N43" s="31"/>
      <c r="O43" s="32">
        <f t="shared" si="2"/>
        <v>108.36600000000001</v>
      </c>
      <c r="P43" s="32">
        <f t="shared" si="3"/>
        <v>24.869999999999997</v>
      </c>
      <c r="Q43" s="38">
        <v>14</v>
      </c>
    </row>
    <row r="44" spans="1:17" s="23" customFormat="1" ht="15" customHeight="1" x14ac:dyDescent="0.2">
      <c r="A44" s="24">
        <v>14</v>
      </c>
      <c r="B44" s="24">
        <v>42</v>
      </c>
      <c r="C44" s="25" t="s">
        <v>57</v>
      </c>
      <c r="D44" s="25" t="s">
        <v>35</v>
      </c>
      <c r="E44" s="25" t="s">
        <v>58</v>
      </c>
      <c r="F44" s="26">
        <v>544.30999999999995</v>
      </c>
      <c r="G44" s="26">
        <v>126.07</v>
      </c>
      <c r="H44" s="25"/>
      <c r="K44" s="31">
        <v>10</v>
      </c>
      <c r="L44" s="31"/>
      <c r="M44" s="31">
        <v>20</v>
      </c>
      <c r="N44" s="31"/>
      <c r="O44" s="32">
        <f t="shared" si="2"/>
        <v>108.86199999999999</v>
      </c>
      <c r="P44" s="32">
        <f t="shared" si="3"/>
        <v>25.213999999999999</v>
      </c>
      <c r="Q44" s="38">
        <v>14</v>
      </c>
    </row>
    <row r="45" spans="1:17" s="23" customFormat="1" ht="15" customHeight="1" x14ac:dyDescent="0.2">
      <c r="A45" s="24">
        <v>15</v>
      </c>
      <c r="B45" s="24">
        <v>43</v>
      </c>
      <c r="C45" s="25" t="s">
        <v>59</v>
      </c>
      <c r="D45" s="25" t="s">
        <v>35</v>
      </c>
      <c r="E45" s="25" t="s">
        <v>60</v>
      </c>
      <c r="F45" s="26">
        <v>468.19</v>
      </c>
      <c r="G45" s="26">
        <v>97.71</v>
      </c>
      <c r="H45" s="25"/>
      <c r="K45" s="31">
        <v>10</v>
      </c>
      <c r="L45" s="31"/>
      <c r="M45" s="31">
        <v>20</v>
      </c>
      <c r="N45" s="31"/>
      <c r="O45" s="32">
        <f t="shared" si="2"/>
        <v>93.637999999999991</v>
      </c>
      <c r="P45" s="32">
        <f t="shared" si="3"/>
        <v>19.541999999999998</v>
      </c>
      <c r="Q45" s="38">
        <v>15</v>
      </c>
    </row>
    <row r="46" spans="1:17" s="23" customFormat="1" ht="15" customHeight="1" x14ac:dyDescent="0.2">
      <c r="A46" s="24">
        <v>15</v>
      </c>
      <c r="B46" s="24">
        <v>44</v>
      </c>
      <c r="C46" s="25" t="s">
        <v>59</v>
      </c>
      <c r="D46" s="25" t="s">
        <v>35</v>
      </c>
      <c r="E46" s="25" t="s">
        <v>60</v>
      </c>
      <c r="F46" s="26">
        <v>466.61</v>
      </c>
      <c r="G46" s="26">
        <v>98.11</v>
      </c>
      <c r="H46" s="25"/>
      <c r="K46" s="31">
        <v>10</v>
      </c>
      <c r="L46" s="31"/>
      <c r="M46" s="31">
        <v>20</v>
      </c>
      <c r="N46" s="31"/>
      <c r="O46" s="32">
        <f t="shared" si="2"/>
        <v>93.322000000000003</v>
      </c>
      <c r="P46" s="32">
        <f t="shared" si="3"/>
        <v>19.622</v>
      </c>
      <c r="Q46" s="38">
        <v>15</v>
      </c>
    </row>
    <row r="47" spans="1:17" s="23" customFormat="1" ht="15" customHeight="1" x14ac:dyDescent="0.2">
      <c r="A47" s="24">
        <v>16</v>
      </c>
      <c r="B47" s="24">
        <v>45</v>
      </c>
      <c r="C47" s="25" t="s">
        <v>61</v>
      </c>
      <c r="D47" s="25" t="s">
        <v>35</v>
      </c>
      <c r="E47" s="25" t="s">
        <v>62</v>
      </c>
      <c r="F47" s="26">
        <v>298</v>
      </c>
      <c r="G47" s="26">
        <v>56.03</v>
      </c>
      <c r="H47" s="25"/>
      <c r="K47" s="31">
        <v>10</v>
      </c>
      <c r="L47" s="31"/>
      <c r="M47" s="31">
        <v>20</v>
      </c>
      <c r="N47" s="31"/>
      <c r="O47" s="32">
        <f t="shared" si="2"/>
        <v>59.6</v>
      </c>
      <c r="P47" s="32">
        <f t="shared" si="3"/>
        <v>11.206</v>
      </c>
      <c r="Q47" s="38">
        <v>16</v>
      </c>
    </row>
    <row r="48" spans="1:17" s="23" customFormat="1" ht="15" customHeight="1" x14ac:dyDescent="0.2">
      <c r="A48" s="24">
        <v>16</v>
      </c>
      <c r="B48" s="24">
        <v>46</v>
      </c>
      <c r="C48" s="25" t="s">
        <v>61</v>
      </c>
      <c r="D48" s="25" t="s">
        <v>35</v>
      </c>
      <c r="E48" s="25" t="s">
        <v>62</v>
      </c>
      <c r="F48" s="26">
        <v>296.89999999999998</v>
      </c>
      <c r="G48" s="26">
        <v>57.57</v>
      </c>
      <c r="H48" s="25"/>
      <c r="K48" s="31">
        <v>10</v>
      </c>
      <c r="L48" s="31"/>
      <c r="M48" s="31">
        <v>20</v>
      </c>
      <c r="N48" s="31"/>
      <c r="O48" s="32">
        <f t="shared" si="2"/>
        <v>59.379999999999995</v>
      </c>
      <c r="P48" s="32">
        <f t="shared" si="3"/>
        <v>11.513999999999999</v>
      </c>
      <c r="Q48" s="38">
        <v>16</v>
      </c>
    </row>
    <row r="49" spans="1:17" s="23" customFormat="1" ht="15" customHeight="1" x14ac:dyDescent="0.2">
      <c r="A49" s="24">
        <v>17</v>
      </c>
      <c r="B49" s="24">
        <v>47</v>
      </c>
      <c r="C49" s="25" t="s">
        <v>63</v>
      </c>
      <c r="D49" s="25" t="s">
        <v>35</v>
      </c>
      <c r="E49" s="25" t="s">
        <v>64</v>
      </c>
      <c r="F49" s="26">
        <v>399.35</v>
      </c>
      <c r="G49" s="26">
        <v>104.02</v>
      </c>
      <c r="H49" s="25"/>
      <c r="K49" s="31">
        <v>10</v>
      </c>
      <c r="L49" s="31"/>
      <c r="M49" s="31">
        <v>20</v>
      </c>
      <c r="N49" s="31"/>
      <c r="O49" s="32">
        <f t="shared" si="2"/>
        <v>79.87</v>
      </c>
      <c r="P49" s="32">
        <f t="shared" si="3"/>
        <v>20.804000000000002</v>
      </c>
      <c r="Q49" s="38">
        <v>17</v>
      </c>
    </row>
    <row r="50" spans="1:17" s="23" customFormat="1" ht="15" customHeight="1" x14ac:dyDescent="0.2">
      <c r="A50" s="24">
        <v>17</v>
      </c>
      <c r="B50" s="24">
        <v>48</v>
      </c>
      <c r="C50" s="25" t="s">
        <v>63</v>
      </c>
      <c r="D50" s="25" t="s">
        <v>35</v>
      </c>
      <c r="E50" s="25" t="s">
        <v>64</v>
      </c>
      <c r="F50" s="26">
        <v>402.78</v>
      </c>
      <c r="G50" s="26">
        <v>104.71</v>
      </c>
      <c r="H50" s="25"/>
      <c r="K50" s="31">
        <v>10</v>
      </c>
      <c r="L50" s="31"/>
      <c r="M50" s="31">
        <v>20</v>
      </c>
      <c r="N50" s="31"/>
      <c r="O50" s="32">
        <f t="shared" si="2"/>
        <v>80.555999999999997</v>
      </c>
      <c r="P50" s="32">
        <f t="shared" si="3"/>
        <v>20.942</v>
      </c>
      <c r="Q50" s="38">
        <v>17</v>
      </c>
    </row>
    <row r="51" spans="1:17" s="23" customFormat="1" ht="15" customHeight="1" x14ac:dyDescent="0.2">
      <c r="A51" s="24">
        <v>18</v>
      </c>
      <c r="B51" s="24">
        <v>49</v>
      </c>
      <c r="C51" s="25" t="s">
        <v>65</v>
      </c>
      <c r="D51" s="25" t="s">
        <v>35</v>
      </c>
      <c r="E51" s="25" t="s">
        <v>66</v>
      </c>
      <c r="F51" s="26">
        <v>509.83</v>
      </c>
      <c r="G51" s="26">
        <v>94.29</v>
      </c>
      <c r="H51" s="25"/>
      <c r="K51" s="31">
        <v>10</v>
      </c>
      <c r="L51" s="31"/>
      <c r="M51" s="31">
        <v>20</v>
      </c>
      <c r="N51" s="31"/>
      <c r="O51" s="32">
        <f t="shared" si="2"/>
        <v>101.96600000000001</v>
      </c>
      <c r="P51" s="32">
        <f t="shared" si="3"/>
        <v>18.858000000000001</v>
      </c>
      <c r="Q51" s="38">
        <v>18</v>
      </c>
    </row>
    <row r="52" spans="1:17" s="23" customFormat="1" ht="15" customHeight="1" x14ac:dyDescent="0.2">
      <c r="A52" s="24">
        <v>18</v>
      </c>
      <c r="B52" s="24">
        <v>50</v>
      </c>
      <c r="C52" s="25" t="s">
        <v>65</v>
      </c>
      <c r="D52" s="25" t="s">
        <v>35</v>
      </c>
      <c r="E52" s="25" t="s">
        <v>66</v>
      </c>
      <c r="F52" s="26">
        <v>512.45000000000005</v>
      </c>
      <c r="G52" s="26">
        <v>94.08</v>
      </c>
      <c r="H52" s="25"/>
      <c r="K52" s="31">
        <v>10</v>
      </c>
      <c r="L52" s="31"/>
      <c r="M52" s="31">
        <v>20</v>
      </c>
      <c r="N52" s="31"/>
      <c r="O52" s="32">
        <f t="shared" si="2"/>
        <v>102.49000000000002</v>
      </c>
      <c r="P52" s="32">
        <f t="shared" si="3"/>
        <v>18.815999999999999</v>
      </c>
      <c r="Q52" s="38">
        <v>18</v>
      </c>
    </row>
    <row r="53" spans="1:17" s="23" customFormat="1" ht="15" customHeight="1" x14ac:dyDescent="0.2">
      <c r="A53" s="24">
        <v>19</v>
      </c>
      <c r="B53" s="24">
        <v>51</v>
      </c>
      <c r="C53" s="25" t="s">
        <v>67</v>
      </c>
      <c r="D53" s="25" t="s">
        <v>35</v>
      </c>
      <c r="E53" s="25" t="s">
        <v>68</v>
      </c>
      <c r="F53" s="26">
        <v>306.92</v>
      </c>
      <c r="G53" s="26">
        <v>59.09</v>
      </c>
      <c r="H53" s="25"/>
      <c r="K53" s="31">
        <v>10</v>
      </c>
      <c r="L53" s="31"/>
      <c r="M53" s="31">
        <v>20</v>
      </c>
      <c r="N53" s="31"/>
      <c r="O53" s="32">
        <f t="shared" si="2"/>
        <v>61.384000000000007</v>
      </c>
      <c r="P53" s="32">
        <f t="shared" si="3"/>
        <v>11.818</v>
      </c>
      <c r="Q53" s="38">
        <v>19</v>
      </c>
    </row>
    <row r="54" spans="1:17" s="23" customFormat="1" ht="15" customHeight="1" x14ac:dyDescent="0.2">
      <c r="A54" s="24">
        <v>19</v>
      </c>
      <c r="B54" s="24">
        <v>52</v>
      </c>
      <c r="C54" s="25" t="s">
        <v>67</v>
      </c>
      <c r="D54" s="25" t="s">
        <v>35</v>
      </c>
      <c r="E54" s="25" t="s">
        <v>68</v>
      </c>
      <c r="F54" s="26">
        <v>304.22000000000003</v>
      </c>
      <c r="G54" s="26">
        <v>58.75</v>
      </c>
      <c r="H54" s="25"/>
      <c r="K54" s="31">
        <v>10</v>
      </c>
      <c r="L54" s="31"/>
      <c r="M54" s="31">
        <v>20</v>
      </c>
      <c r="N54" s="31"/>
      <c r="O54" s="32">
        <f t="shared" si="2"/>
        <v>60.844000000000008</v>
      </c>
      <c r="P54" s="32">
        <f t="shared" si="3"/>
        <v>11.749999999999998</v>
      </c>
      <c r="Q54" s="38">
        <v>19</v>
      </c>
    </row>
    <row r="55" spans="1:17" s="23" customFormat="1" ht="15" customHeight="1" x14ac:dyDescent="0.2">
      <c r="A55" s="24">
        <v>20</v>
      </c>
      <c r="B55" s="24">
        <v>53</v>
      </c>
      <c r="C55" s="25" t="s">
        <v>69</v>
      </c>
      <c r="D55" s="25" t="s">
        <v>35</v>
      </c>
      <c r="E55" s="25" t="s">
        <v>70</v>
      </c>
      <c r="F55" s="26">
        <v>396.17</v>
      </c>
      <c r="G55" s="26">
        <v>76.900000000000006</v>
      </c>
      <c r="H55" s="25"/>
      <c r="K55" s="31">
        <v>10</v>
      </c>
      <c r="L55" s="31"/>
      <c r="M55" s="31">
        <v>20</v>
      </c>
      <c r="N55" s="31"/>
      <c r="O55" s="32">
        <f t="shared" si="2"/>
        <v>79.234000000000009</v>
      </c>
      <c r="P55" s="32">
        <f t="shared" si="3"/>
        <v>15.380000000000003</v>
      </c>
      <c r="Q55" s="38">
        <v>20</v>
      </c>
    </row>
    <row r="56" spans="1:17" s="23" customFormat="1" ht="15" customHeight="1" x14ac:dyDescent="0.2">
      <c r="A56" s="24">
        <v>20</v>
      </c>
      <c r="B56" s="24">
        <v>54</v>
      </c>
      <c r="C56" s="25" t="s">
        <v>69</v>
      </c>
      <c r="D56" s="25" t="s">
        <v>35</v>
      </c>
      <c r="E56" s="25" t="s">
        <v>70</v>
      </c>
      <c r="F56" s="26">
        <v>397.86</v>
      </c>
      <c r="G56" s="26">
        <v>76.760000000000005</v>
      </c>
      <c r="H56" s="25"/>
      <c r="K56" s="31">
        <v>10</v>
      </c>
      <c r="L56" s="31"/>
      <c r="M56" s="31">
        <v>20</v>
      </c>
      <c r="N56" s="31"/>
      <c r="O56" s="32">
        <f t="shared" si="2"/>
        <v>79.572000000000003</v>
      </c>
      <c r="P56" s="32">
        <f t="shared" si="3"/>
        <v>15.352</v>
      </c>
      <c r="Q56" s="38">
        <v>20</v>
      </c>
    </row>
    <row r="57" spans="1:17" s="15" customFormat="1" ht="15" customHeight="1" x14ac:dyDescent="0.2">
      <c r="A57" s="16">
        <v>1</v>
      </c>
      <c r="B57" s="16">
        <v>55</v>
      </c>
      <c r="C57" s="17" t="s">
        <v>15</v>
      </c>
      <c r="D57" s="17" t="s">
        <v>16</v>
      </c>
      <c r="E57" s="17" t="s">
        <v>17</v>
      </c>
      <c r="F57" s="18">
        <v>546.58000000000004</v>
      </c>
      <c r="G57" s="18">
        <v>55.67</v>
      </c>
      <c r="H57" s="17"/>
      <c r="K57" s="15">
        <v>10</v>
      </c>
      <c r="M57" s="15">
        <v>10</v>
      </c>
      <c r="O57" s="15">
        <f t="shared" si="2"/>
        <v>54.658000000000008</v>
      </c>
      <c r="P57" s="15">
        <f t="shared" si="3"/>
        <v>5.5670000000000011</v>
      </c>
      <c r="Q57" s="15" t="s">
        <v>68</v>
      </c>
    </row>
    <row r="58" spans="1:17" s="11" customFormat="1" ht="15" customHeight="1" x14ac:dyDescent="0.2">
      <c r="A58" s="12">
        <v>1</v>
      </c>
      <c r="B58" s="12">
        <v>56</v>
      </c>
      <c r="C58" s="13" t="s">
        <v>12</v>
      </c>
      <c r="D58" s="13" t="s">
        <v>13</v>
      </c>
      <c r="E58" s="13" t="s">
        <v>14</v>
      </c>
      <c r="F58" s="14">
        <v>-4.76</v>
      </c>
      <c r="G58" s="14">
        <v>0.6</v>
      </c>
      <c r="H58" s="13"/>
      <c r="K58" s="11">
        <v>10</v>
      </c>
      <c r="M58" s="11">
        <v>10</v>
      </c>
      <c r="O58" s="11">
        <f t="shared" si="2"/>
        <v>-0.47599999999999998</v>
      </c>
      <c r="P58" s="11">
        <f t="shared" si="3"/>
        <v>5.9999999999999991E-2</v>
      </c>
      <c r="Q58" s="11" t="s">
        <v>68</v>
      </c>
    </row>
    <row r="59" spans="1:17" s="23" customFormat="1" ht="15" customHeight="1" x14ac:dyDescent="0.2">
      <c r="A59" s="24">
        <v>21</v>
      </c>
      <c r="B59" s="24">
        <v>57</v>
      </c>
      <c r="C59" s="25" t="s">
        <v>71</v>
      </c>
      <c r="D59" s="25" t="s">
        <v>35</v>
      </c>
      <c r="E59" s="25" t="s">
        <v>72</v>
      </c>
      <c r="F59" s="26">
        <v>626.08000000000004</v>
      </c>
      <c r="G59" s="26">
        <v>171.74</v>
      </c>
      <c r="H59" s="25"/>
      <c r="K59" s="31">
        <v>10</v>
      </c>
      <c r="L59" s="31"/>
      <c r="M59" s="31">
        <v>20</v>
      </c>
      <c r="N59" s="31"/>
      <c r="O59" s="32">
        <f t="shared" si="2"/>
        <v>125.21600000000001</v>
      </c>
      <c r="P59" s="32">
        <f t="shared" si="3"/>
        <v>34.347999999999999</v>
      </c>
      <c r="Q59" s="33">
        <v>21</v>
      </c>
    </row>
    <row r="60" spans="1:17" s="23" customFormat="1" ht="15" customHeight="1" x14ac:dyDescent="0.2">
      <c r="A60" s="24">
        <v>21</v>
      </c>
      <c r="B60" s="24">
        <v>58</v>
      </c>
      <c r="C60" s="25" t="s">
        <v>71</v>
      </c>
      <c r="D60" s="25" t="s">
        <v>35</v>
      </c>
      <c r="E60" s="25" t="s">
        <v>72</v>
      </c>
      <c r="F60" s="26">
        <v>630.08000000000004</v>
      </c>
      <c r="G60" s="26">
        <v>172.54</v>
      </c>
      <c r="H60" s="25"/>
      <c r="K60" s="31">
        <v>10</v>
      </c>
      <c r="L60" s="31"/>
      <c r="M60" s="31">
        <v>20</v>
      </c>
      <c r="N60" s="31"/>
      <c r="O60" s="32">
        <f t="shared" si="2"/>
        <v>126.01600000000002</v>
      </c>
      <c r="P60" s="32">
        <f t="shared" si="3"/>
        <v>34.508000000000003</v>
      </c>
      <c r="Q60" s="33">
        <v>21</v>
      </c>
    </row>
    <row r="61" spans="1:17" s="23" customFormat="1" ht="15" customHeight="1" x14ac:dyDescent="0.2">
      <c r="A61" s="24">
        <v>22</v>
      </c>
      <c r="B61" s="24">
        <v>59</v>
      </c>
      <c r="C61" s="25" t="s">
        <v>73</v>
      </c>
      <c r="D61" s="25" t="s">
        <v>35</v>
      </c>
      <c r="E61" s="25" t="s">
        <v>74</v>
      </c>
      <c r="F61" s="26">
        <v>335.37</v>
      </c>
      <c r="G61" s="26">
        <v>82.78</v>
      </c>
      <c r="H61" s="25"/>
      <c r="K61" s="31">
        <v>10</v>
      </c>
      <c r="L61" s="31"/>
      <c r="M61" s="31">
        <v>20</v>
      </c>
      <c r="N61" s="26"/>
      <c r="O61" s="32">
        <f>F61/1000*K61*M61</f>
        <v>67.073999999999998</v>
      </c>
      <c r="P61" s="32">
        <f>G61/1000*K61*M61</f>
        <v>16.556000000000001</v>
      </c>
      <c r="Q61" s="33">
        <v>22</v>
      </c>
    </row>
    <row r="62" spans="1:17" s="23" customFormat="1" ht="15" customHeight="1" x14ac:dyDescent="0.2">
      <c r="A62" s="24">
        <v>22</v>
      </c>
      <c r="B62" s="24">
        <v>60</v>
      </c>
      <c r="C62" s="25" t="s">
        <v>73</v>
      </c>
      <c r="D62" s="25" t="s">
        <v>35</v>
      </c>
      <c r="E62" s="25" t="s">
        <v>74</v>
      </c>
      <c r="F62" s="26">
        <v>331.01</v>
      </c>
      <c r="G62" s="26">
        <v>82.81</v>
      </c>
      <c r="H62" s="25"/>
      <c r="K62" s="31">
        <v>10</v>
      </c>
      <c r="L62" s="31"/>
      <c r="M62" s="31">
        <v>20</v>
      </c>
      <c r="N62" s="26"/>
      <c r="O62" s="32">
        <f>F62/1000*K62*M62</f>
        <v>66.201999999999998</v>
      </c>
      <c r="P62" s="32">
        <f>G62/1000*K62*M62</f>
        <v>16.562000000000001</v>
      </c>
      <c r="Q62" s="33">
        <v>22</v>
      </c>
    </row>
    <row r="63" spans="1:17" s="23" customFormat="1" ht="15" customHeight="1" x14ac:dyDescent="0.2">
      <c r="A63" s="24">
        <v>23</v>
      </c>
      <c r="B63" s="24">
        <v>61</v>
      </c>
      <c r="C63" s="25" t="s">
        <v>75</v>
      </c>
      <c r="D63" s="25" t="s">
        <v>35</v>
      </c>
      <c r="E63" s="25" t="s">
        <v>76</v>
      </c>
      <c r="F63" s="26">
        <v>351</v>
      </c>
      <c r="G63" s="26">
        <v>71.63</v>
      </c>
      <c r="H63" s="25"/>
      <c r="K63" s="31">
        <v>10</v>
      </c>
      <c r="L63" s="31"/>
      <c r="M63" s="31">
        <v>20</v>
      </c>
      <c r="N63" s="31"/>
      <c r="O63" s="32">
        <f>F63/1000*K63*M63</f>
        <v>70.199999999999989</v>
      </c>
      <c r="P63" s="32">
        <f>G63/1000*K63*M63</f>
        <v>14.325999999999999</v>
      </c>
      <c r="Q63" s="33">
        <v>23</v>
      </c>
    </row>
    <row r="64" spans="1:17" s="23" customFormat="1" ht="15" customHeight="1" x14ac:dyDescent="0.2">
      <c r="A64" s="24">
        <v>23</v>
      </c>
      <c r="B64" s="24">
        <v>62</v>
      </c>
      <c r="C64" s="25" t="s">
        <v>75</v>
      </c>
      <c r="D64" s="25" t="s">
        <v>35</v>
      </c>
      <c r="E64" s="25" t="s">
        <v>76</v>
      </c>
      <c r="F64" s="26">
        <v>352.26</v>
      </c>
      <c r="G64" s="26">
        <v>71.17</v>
      </c>
      <c r="H64" s="25"/>
      <c r="K64" s="31">
        <v>10</v>
      </c>
      <c r="L64" s="31"/>
      <c r="M64" s="31">
        <v>20</v>
      </c>
      <c r="N64" s="31"/>
      <c r="O64" s="32">
        <f t="shared" ref="O64:O82" si="4">F64/1000*K64*M64</f>
        <v>70.451999999999998</v>
      </c>
      <c r="P64" s="32">
        <f t="shared" ref="P64:P82" si="5">G64/1000*K64*M64</f>
        <v>14.234</v>
      </c>
      <c r="Q64" s="33">
        <v>23</v>
      </c>
    </row>
    <row r="65" spans="1:17" s="23" customFormat="1" ht="15" customHeight="1" x14ac:dyDescent="0.2">
      <c r="A65" s="24">
        <v>24</v>
      </c>
      <c r="B65" s="24">
        <v>63</v>
      </c>
      <c r="C65" s="25" t="s">
        <v>77</v>
      </c>
      <c r="D65" s="25" t="s">
        <v>35</v>
      </c>
      <c r="E65" s="25" t="s">
        <v>78</v>
      </c>
      <c r="F65" s="26">
        <v>189.47</v>
      </c>
      <c r="G65" s="26">
        <v>36.78</v>
      </c>
      <c r="H65" s="25"/>
      <c r="K65" s="31">
        <v>10</v>
      </c>
      <c r="L65" s="31"/>
      <c r="M65" s="31">
        <v>20</v>
      </c>
      <c r="N65" s="31"/>
      <c r="O65" s="32">
        <f t="shared" si="4"/>
        <v>37.893999999999998</v>
      </c>
      <c r="P65" s="32">
        <f t="shared" si="5"/>
        <v>7.3559999999999999</v>
      </c>
      <c r="Q65" s="33">
        <v>24</v>
      </c>
    </row>
    <row r="66" spans="1:17" s="23" customFormat="1" ht="15" customHeight="1" x14ac:dyDescent="0.2">
      <c r="A66" s="24">
        <v>24</v>
      </c>
      <c r="B66" s="24">
        <v>64</v>
      </c>
      <c r="C66" s="25" t="s">
        <v>77</v>
      </c>
      <c r="D66" s="25" t="s">
        <v>35</v>
      </c>
      <c r="E66" s="25" t="s">
        <v>78</v>
      </c>
      <c r="F66" s="26">
        <v>183.07</v>
      </c>
      <c r="G66" s="26">
        <v>36.54</v>
      </c>
      <c r="H66" s="25"/>
      <c r="K66" s="31">
        <v>10</v>
      </c>
      <c r="L66" s="31"/>
      <c r="M66" s="31">
        <v>20</v>
      </c>
      <c r="N66" s="31"/>
      <c r="O66" s="32">
        <f t="shared" si="4"/>
        <v>36.613999999999997</v>
      </c>
      <c r="P66" s="32">
        <f t="shared" si="5"/>
        <v>7.3079999999999989</v>
      </c>
      <c r="Q66" s="33">
        <v>24</v>
      </c>
    </row>
    <row r="67" spans="1:17" s="23" customFormat="1" ht="15" customHeight="1" x14ac:dyDescent="0.2">
      <c r="A67" s="24">
        <v>25</v>
      </c>
      <c r="B67" s="24">
        <v>65</v>
      </c>
      <c r="C67" s="25" t="s">
        <v>79</v>
      </c>
      <c r="D67" s="25" t="s">
        <v>35</v>
      </c>
      <c r="E67" s="25" t="s">
        <v>80</v>
      </c>
      <c r="F67" s="26">
        <v>385.86</v>
      </c>
      <c r="G67" s="26">
        <v>73.41</v>
      </c>
      <c r="H67" s="25"/>
      <c r="K67" s="31">
        <v>10</v>
      </c>
      <c r="L67" s="31"/>
      <c r="M67" s="31">
        <v>20</v>
      </c>
      <c r="N67" s="31"/>
      <c r="O67" s="32">
        <f t="shared" si="4"/>
        <v>77.172000000000011</v>
      </c>
      <c r="P67" s="32">
        <f t="shared" si="5"/>
        <v>14.681999999999999</v>
      </c>
      <c r="Q67" s="33">
        <v>25</v>
      </c>
    </row>
    <row r="68" spans="1:17" s="23" customFormat="1" ht="15" customHeight="1" x14ac:dyDescent="0.2">
      <c r="A68" s="24">
        <v>25</v>
      </c>
      <c r="B68" s="24">
        <v>66</v>
      </c>
      <c r="C68" s="25" t="s">
        <v>79</v>
      </c>
      <c r="D68" s="25" t="s">
        <v>35</v>
      </c>
      <c r="E68" s="25" t="s">
        <v>80</v>
      </c>
      <c r="F68" s="26">
        <v>389.07</v>
      </c>
      <c r="G68" s="26">
        <v>75.349999999999994</v>
      </c>
      <c r="H68" s="25"/>
      <c r="K68" s="31">
        <v>10</v>
      </c>
      <c r="L68" s="31"/>
      <c r="M68" s="31">
        <v>20</v>
      </c>
      <c r="N68" s="31"/>
      <c r="O68" s="32">
        <f t="shared" si="4"/>
        <v>77.813999999999993</v>
      </c>
      <c r="P68" s="32">
        <f t="shared" si="5"/>
        <v>15.07</v>
      </c>
      <c r="Q68" s="33">
        <v>25</v>
      </c>
    </row>
    <row r="69" spans="1:17" s="23" customFormat="1" ht="15" customHeight="1" x14ac:dyDescent="0.2">
      <c r="A69" s="24">
        <v>26</v>
      </c>
      <c r="B69" s="24">
        <v>67</v>
      </c>
      <c r="C69" s="25" t="s">
        <v>81</v>
      </c>
      <c r="D69" s="25" t="s">
        <v>35</v>
      </c>
      <c r="E69" s="25" t="s">
        <v>82</v>
      </c>
      <c r="F69" s="26">
        <v>427.04</v>
      </c>
      <c r="G69" s="26">
        <v>79.38</v>
      </c>
      <c r="H69" s="25"/>
      <c r="K69" s="31">
        <v>10</v>
      </c>
      <c r="L69" s="31"/>
      <c r="M69" s="31">
        <v>20</v>
      </c>
      <c r="N69" s="31"/>
      <c r="O69" s="32">
        <f t="shared" si="4"/>
        <v>85.408000000000015</v>
      </c>
      <c r="P69" s="32">
        <f t="shared" si="5"/>
        <v>15.875999999999999</v>
      </c>
      <c r="Q69" s="33">
        <v>26</v>
      </c>
    </row>
    <row r="70" spans="1:17" s="23" customFormat="1" ht="15" customHeight="1" x14ac:dyDescent="0.2">
      <c r="A70" s="24">
        <v>26</v>
      </c>
      <c r="B70" s="24">
        <v>68</v>
      </c>
      <c r="C70" s="25" t="s">
        <v>81</v>
      </c>
      <c r="D70" s="25" t="s">
        <v>35</v>
      </c>
      <c r="E70" s="25" t="s">
        <v>82</v>
      </c>
      <c r="F70" s="26">
        <v>427.54</v>
      </c>
      <c r="G70" s="26">
        <v>80.03</v>
      </c>
      <c r="H70" s="25"/>
      <c r="K70" s="31">
        <v>10</v>
      </c>
      <c r="L70" s="31"/>
      <c r="M70" s="31">
        <v>20</v>
      </c>
      <c r="N70" s="31"/>
      <c r="O70" s="32">
        <f t="shared" si="4"/>
        <v>85.50800000000001</v>
      </c>
      <c r="P70" s="32">
        <f t="shared" si="5"/>
        <v>16.006</v>
      </c>
      <c r="Q70" s="33">
        <v>26</v>
      </c>
    </row>
    <row r="71" spans="1:17" s="23" customFormat="1" ht="15" customHeight="1" x14ac:dyDescent="0.2">
      <c r="A71" s="24">
        <v>27</v>
      </c>
      <c r="B71" s="24">
        <v>69</v>
      </c>
      <c r="C71" s="25" t="s">
        <v>83</v>
      </c>
      <c r="D71" s="25" t="s">
        <v>35</v>
      </c>
      <c r="E71" s="25" t="s">
        <v>84</v>
      </c>
      <c r="F71" s="26">
        <v>315.27999999999997</v>
      </c>
      <c r="G71" s="26">
        <v>60.16</v>
      </c>
      <c r="H71" s="25"/>
      <c r="K71" s="31">
        <v>10</v>
      </c>
      <c r="L71" s="31"/>
      <c r="M71" s="31">
        <v>20</v>
      </c>
      <c r="N71" s="31"/>
      <c r="O71" s="32">
        <f t="shared" si="4"/>
        <v>63.05599999999999</v>
      </c>
      <c r="P71" s="32">
        <f t="shared" si="5"/>
        <v>12.032</v>
      </c>
      <c r="Q71" s="33">
        <v>27</v>
      </c>
    </row>
    <row r="72" spans="1:17" s="23" customFormat="1" ht="15" customHeight="1" x14ac:dyDescent="0.2">
      <c r="A72" s="24">
        <v>27</v>
      </c>
      <c r="B72" s="24">
        <v>70</v>
      </c>
      <c r="C72" s="25" t="s">
        <v>83</v>
      </c>
      <c r="D72" s="25" t="s">
        <v>35</v>
      </c>
      <c r="E72" s="25" t="s">
        <v>84</v>
      </c>
      <c r="F72" s="26">
        <v>314.64</v>
      </c>
      <c r="G72" s="26">
        <v>59.66</v>
      </c>
      <c r="H72" s="25"/>
      <c r="K72" s="31">
        <v>10</v>
      </c>
      <c r="L72" s="31"/>
      <c r="M72" s="31">
        <v>20</v>
      </c>
      <c r="N72" s="31"/>
      <c r="O72" s="32">
        <f t="shared" si="4"/>
        <v>62.927999999999997</v>
      </c>
      <c r="P72" s="32">
        <f t="shared" si="5"/>
        <v>11.932</v>
      </c>
      <c r="Q72" s="33">
        <v>27</v>
      </c>
    </row>
    <row r="73" spans="1:17" s="23" customFormat="1" ht="15" customHeight="1" x14ac:dyDescent="0.2">
      <c r="A73" s="24">
        <v>28</v>
      </c>
      <c r="B73" s="24">
        <v>71</v>
      </c>
      <c r="C73" s="25" t="s">
        <v>85</v>
      </c>
      <c r="D73" s="25" t="s">
        <v>35</v>
      </c>
      <c r="E73" s="25" t="s">
        <v>86</v>
      </c>
      <c r="F73" s="26">
        <v>329.75</v>
      </c>
      <c r="G73" s="26">
        <v>77.23</v>
      </c>
      <c r="H73" s="25"/>
      <c r="K73" s="31">
        <v>10</v>
      </c>
      <c r="L73" s="31"/>
      <c r="M73" s="31">
        <v>20</v>
      </c>
      <c r="N73" s="31"/>
      <c r="O73" s="32">
        <f t="shared" si="4"/>
        <v>65.95</v>
      </c>
      <c r="P73" s="32">
        <f t="shared" si="5"/>
        <v>15.446000000000002</v>
      </c>
      <c r="Q73" s="33">
        <v>28</v>
      </c>
    </row>
    <row r="74" spans="1:17" s="23" customFormat="1" ht="15" customHeight="1" x14ac:dyDescent="0.2">
      <c r="A74" s="24">
        <v>28</v>
      </c>
      <c r="B74" s="24">
        <v>72</v>
      </c>
      <c r="C74" s="25" t="s">
        <v>85</v>
      </c>
      <c r="D74" s="25" t="s">
        <v>35</v>
      </c>
      <c r="E74" s="25" t="s">
        <v>86</v>
      </c>
      <c r="F74" s="26">
        <v>330.75</v>
      </c>
      <c r="G74" s="26">
        <v>77.34</v>
      </c>
      <c r="H74" s="25"/>
      <c r="K74" s="31">
        <v>10</v>
      </c>
      <c r="L74" s="31"/>
      <c r="M74" s="31">
        <v>20</v>
      </c>
      <c r="N74" s="31"/>
      <c r="O74" s="32">
        <f t="shared" si="4"/>
        <v>66.150000000000006</v>
      </c>
      <c r="P74" s="32">
        <f t="shared" si="5"/>
        <v>15.468000000000002</v>
      </c>
      <c r="Q74" s="33">
        <v>28</v>
      </c>
    </row>
    <row r="75" spans="1:17" s="23" customFormat="1" ht="15" customHeight="1" x14ac:dyDescent="0.2">
      <c r="A75" s="24">
        <v>29</v>
      </c>
      <c r="B75" s="24">
        <v>73</v>
      </c>
      <c r="C75" s="25" t="s">
        <v>87</v>
      </c>
      <c r="D75" s="25" t="s">
        <v>35</v>
      </c>
      <c r="E75" s="25" t="s">
        <v>88</v>
      </c>
      <c r="F75" s="26">
        <v>440.39</v>
      </c>
      <c r="G75" s="26">
        <v>93.95</v>
      </c>
      <c r="H75" s="25"/>
      <c r="K75" s="31">
        <v>10</v>
      </c>
      <c r="L75" s="31"/>
      <c r="M75" s="31">
        <v>20</v>
      </c>
      <c r="N75" s="31"/>
      <c r="O75" s="32">
        <f t="shared" si="4"/>
        <v>88.078000000000003</v>
      </c>
      <c r="P75" s="32">
        <f t="shared" si="5"/>
        <v>18.79</v>
      </c>
      <c r="Q75" s="33">
        <v>29</v>
      </c>
    </row>
    <row r="76" spans="1:17" s="23" customFormat="1" ht="15" customHeight="1" x14ac:dyDescent="0.2">
      <c r="A76" s="24">
        <v>29</v>
      </c>
      <c r="B76" s="24">
        <v>74</v>
      </c>
      <c r="C76" s="25" t="s">
        <v>87</v>
      </c>
      <c r="D76" s="25" t="s">
        <v>35</v>
      </c>
      <c r="E76" s="25" t="s">
        <v>88</v>
      </c>
      <c r="F76" s="26">
        <v>439.59</v>
      </c>
      <c r="G76" s="26">
        <v>94.49</v>
      </c>
      <c r="H76" s="25"/>
      <c r="K76" s="31">
        <v>10</v>
      </c>
      <c r="L76" s="31"/>
      <c r="M76" s="31">
        <v>20</v>
      </c>
      <c r="N76" s="31"/>
      <c r="O76" s="32">
        <f t="shared" si="4"/>
        <v>87.918000000000006</v>
      </c>
      <c r="P76" s="32">
        <f t="shared" si="5"/>
        <v>18.897999999999996</v>
      </c>
      <c r="Q76" s="33">
        <v>29</v>
      </c>
    </row>
    <row r="77" spans="1:17" s="23" customFormat="1" ht="15" customHeight="1" x14ac:dyDescent="0.2">
      <c r="A77" s="24">
        <v>30</v>
      </c>
      <c r="B77" s="24">
        <v>75</v>
      </c>
      <c r="C77" s="25" t="s">
        <v>89</v>
      </c>
      <c r="D77" s="25" t="s">
        <v>35</v>
      </c>
      <c r="E77" s="25" t="s">
        <v>90</v>
      </c>
      <c r="F77" s="26">
        <v>461.62</v>
      </c>
      <c r="G77" s="26">
        <v>91.28</v>
      </c>
      <c r="H77" s="25"/>
      <c r="K77" s="31">
        <v>10</v>
      </c>
      <c r="L77" s="31"/>
      <c r="M77" s="31">
        <v>20</v>
      </c>
      <c r="N77" s="31"/>
      <c r="O77" s="32">
        <f t="shared" si="4"/>
        <v>92.323999999999998</v>
      </c>
      <c r="P77" s="32">
        <f t="shared" si="5"/>
        <v>18.256</v>
      </c>
      <c r="Q77" s="33">
        <v>30</v>
      </c>
    </row>
    <row r="78" spans="1:17" s="23" customFormat="1" ht="15" customHeight="1" x14ac:dyDescent="0.2">
      <c r="A78" s="24">
        <v>30</v>
      </c>
      <c r="B78" s="24">
        <v>76</v>
      </c>
      <c r="C78" s="25" t="s">
        <v>89</v>
      </c>
      <c r="D78" s="25" t="s">
        <v>35</v>
      </c>
      <c r="E78" s="25" t="s">
        <v>90</v>
      </c>
      <c r="F78" s="26">
        <v>462.06</v>
      </c>
      <c r="G78" s="26">
        <v>89.95</v>
      </c>
      <c r="H78" s="25"/>
      <c r="K78" s="31">
        <v>10</v>
      </c>
      <c r="L78" s="31"/>
      <c r="M78" s="31">
        <v>20</v>
      </c>
      <c r="N78" s="31"/>
      <c r="O78" s="32">
        <f t="shared" si="4"/>
        <v>92.412000000000006</v>
      </c>
      <c r="P78" s="32">
        <f t="shared" si="5"/>
        <v>17.989999999999998</v>
      </c>
      <c r="Q78" s="33">
        <v>30</v>
      </c>
    </row>
    <row r="79" spans="1:17" s="15" customFormat="1" ht="15" customHeight="1" x14ac:dyDescent="0.2">
      <c r="A79" s="16">
        <v>1</v>
      </c>
      <c r="B79" s="16">
        <v>77</v>
      </c>
      <c r="C79" s="17" t="s">
        <v>15</v>
      </c>
      <c r="D79" s="17" t="s">
        <v>16</v>
      </c>
      <c r="E79" s="17" t="s">
        <v>17</v>
      </c>
      <c r="F79" s="18">
        <v>539.44000000000005</v>
      </c>
      <c r="G79" s="18">
        <v>56.48</v>
      </c>
      <c r="H79" s="17"/>
      <c r="K79" s="15">
        <v>10</v>
      </c>
      <c r="M79" s="15">
        <v>10</v>
      </c>
      <c r="O79" s="15">
        <f t="shared" si="4"/>
        <v>53.944000000000003</v>
      </c>
      <c r="P79" s="15">
        <f t="shared" si="5"/>
        <v>5.6479999999999997</v>
      </c>
      <c r="Q79" s="15" t="s">
        <v>88</v>
      </c>
    </row>
    <row r="80" spans="1:17" s="11" customFormat="1" ht="15" customHeight="1" x14ac:dyDescent="0.2">
      <c r="A80" s="12">
        <v>1</v>
      </c>
      <c r="B80" s="12">
        <v>78</v>
      </c>
      <c r="C80" s="13" t="s">
        <v>12</v>
      </c>
      <c r="D80" s="13" t="s">
        <v>13</v>
      </c>
      <c r="E80" s="13" t="s">
        <v>14</v>
      </c>
      <c r="F80" s="14">
        <v>-4.76</v>
      </c>
      <c r="G80" s="14">
        <v>0.6</v>
      </c>
      <c r="H80" s="13"/>
      <c r="K80" s="11">
        <v>10</v>
      </c>
      <c r="M80" s="11">
        <v>10</v>
      </c>
      <c r="O80" s="11">
        <f t="shared" si="4"/>
        <v>-0.47599999999999998</v>
      </c>
      <c r="P80" s="11">
        <f t="shared" si="5"/>
        <v>5.9999999999999991E-2</v>
      </c>
      <c r="Q80" s="11" t="s">
        <v>88</v>
      </c>
    </row>
    <row r="81" spans="1:17" s="23" customFormat="1" ht="15" customHeight="1" x14ac:dyDescent="0.2">
      <c r="A81" s="24">
        <v>31</v>
      </c>
      <c r="B81" s="24">
        <v>79</v>
      </c>
      <c r="C81" s="25" t="s">
        <v>91</v>
      </c>
      <c r="D81" s="25" t="s">
        <v>35</v>
      </c>
      <c r="E81" s="25" t="s">
        <v>92</v>
      </c>
      <c r="F81" s="26">
        <v>207.88</v>
      </c>
      <c r="G81" s="26">
        <v>40.200000000000003</v>
      </c>
      <c r="H81" s="25"/>
      <c r="K81" s="31">
        <v>10</v>
      </c>
      <c r="L81" s="31"/>
      <c r="M81" s="31">
        <v>20</v>
      </c>
      <c r="N81" s="31"/>
      <c r="O81" s="32">
        <f t="shared" si="4"/>
        <v>41.576000000000008</v>
      </c>
      <c r="P81" s="32">
        <f t="shared" si="5"/>
        <v>8.0400000000000009</v>
      </c>
      <c r="Q81" s="33">
        <v>31</v>
      </c>
    </row>
    <row r="82" spans="1:17" s="23" customFormat="1" ht="15" customHeight="1" x14ac:dyDescent="0.2">
      <c r="A82" s="24">
        <v>31</v>
      </c>
      <c r="B82" s="24">
        <v>80</v>
      </c>
      <c r="C82" s="25" t="s">
        <v>91</v>
      </c>
      <c r="D82" s="25" t="s">
        <v>35</v>
      </c>
      <c r="E82" s="25" t="s">
        <v>92</v>
      </c>
      <c r="F82" s="26">
        <v>212.11</v>
      </c>
      <c r="G82" s="26">
        <v>40.15</v>
      </c>
      <c r="H82" s="25"/>
      <c r="K82" s="31">
        <v>10</v>
      </c>
      <c r="L82" s="31"/>
      <c r="M82" s="31">
        <v>20</v>
      </c>
      <c r="N82" s="31"/>
      <c r="O82" s="32">
        <f t="shared" si="4"/>
        <v>42.422000000000004</v>
      </c>
      <c r="P82" s="32">
        <f t="shared" si="5"/>
        <v>8.0299999999999994</v>
      </c>
      <c r="Q82" s="33">
        <v>31</v>
      </c>
    </row>
    <row r="83" spans="1:17" s="23" customFormat="1" ht="15" customHeight="1" x14ac:dyDescent="0.2">
      <c r="A83" s="24">
        <v>32</v>
      </c>
      <c r="B83" s="24">
        <v>81</v>
      </c>
      <c r="C83" s="25" t="s">
        <v>93</v>
      </c>
      <c r="D83" s="25" t="s">
        <v>35</v>
      </c>
      <c r="E83" s="25" t="s">
        <v>94</v>
      </c>
      <c r="F83" s="26">
        <v>439.85</v>
      </c>
      <c r="G83" s="26">
        <v>108.72</v>
      </c>
      <c r="H83" s="25"/>
      <c r="K83" s="31">
        <v>10</v>
      </c>
      <c r="L83" s="31"/>
      <c r="M83" s="31">
        <v>20</v>
      </c>
      <c r="N83" s="26"/>
      <c r="O83" s="32">
        <f>F83/1000*K83*M83</f>
        <v>87.97</v>
      </c>
      <c r="P83" s="32">
        <f>G83/1000*K83*M83</f>
        <v>21.744</v>
      </c>
      <c r="Q83" s="33">
        <v>32</v>
      </c>
    </row>
    <row r="84" spans="1:17" s="23" customFormat="1" ht="15" customHeight="1" x14ac:dyDescent="0.2">
      <c r="A84" s="24">
        <v>32</v>
      </c>
      <c r="B84" s="24">
        <v>82</v>
      </c>
      <c r="C84" s="25" t="s">
        <v>93</v>
      </c>
      <c r="D84" s="25" t="s">
        <v>35</v>
      </c>
      <c r="E84" s="25" t="s">
        <v>94</v>
      </c>
      <c r="F84" s="26">
        <v>442.6</v>
      </c>
      <c r="G84" s="26">
        <v>109.26</v>
      </c>
      <c r="H84" s="25"/>
      <c r="K84" s="31">
        <v>10</v>
      </c>
      <c r="L84" s="31"/>
      <c r="M84" s="31">
        <v>20</v>
      </c>
      <c r="N84" s="26"/>
      <c r="O84" s="32">
        <f>F84/1000*K84*M84</f>
        <v>88.52000000000001</v>
      </c>
      <c r="P84" s="32">
        <f>G84/1000*K84*M84</f>
        <v>21.852</v>
      </c>
      <c r="Q84" s="33">
        <v>32</v>
      </c>
    </row>
    <row r="85" spans="1:17" s="23" customFormat="1" ht="15" customHeight="1" x14ac:dyDescent="0.2">
      <c r="A85" s="24">
        <v>33</v>
      </c>
      <c r="B85" s="24">
        <v>83</v>
      </c>
      <c r="C85" s="25" t="s">
        <v>95</v>
      </c>
      <c r="D85" s="25" t="s">
        <v>35</v>
      </c>
      <c r="E85" s="25" t="s">
        <v>96</v>
      </c>
      <c r="F85" s="26">
        <v>371.29</v>
      </c>
      <c r="G85" s="26">
        <v>79.09</v>
      </c>
      <c r="H85" s="25"/>
      <c r="K85" s="31">
        <v>10</v>
      </c>
      <c r="L85" s="31"/>
      <c r="M85" s="31">
        <v>20</v>
      </c>
      <c r="N85" s="31"/>
      <c r="O85" s="32">
        <f>F85/1000*K85*M85</f>
        <v>74.25800000000001</v>
      </c>
      <c r="P85" s="32">
        <f>G85/1000*K85*M85</f>
        <v>15.818000000000001</v>
      </c>
      <c r="Q85" s="33">
        <v>33</v>
      </c>
    </row>
    <row r="86" spans="1:17" s="23" customFormat="1" ht="15" customHeight="1" x14ac:dyDescent="0.2">
      <c r="A86" s="24">
        <v>33</v>
      </c>
      <c r="B86" s="24">
        <v>84</v>
      </c>
      <c r="C86" s="25" t="s">
        <v>95</v>
      </c>
      <c r="D86" s="25" t="s">
        <v>35</v>
      </c>
      <c r="E86" s="25" t="s">
        <v>96</v>
      </c>
      <c r="F86" s="26">
        <v>370.09</v>
      </c>
      <c r="G86" s="26">
        <v>78.69</v>
      </c>
      <c r="H86" s="25"/>
      <c r="K86" s="31">
        <v>10</v>
      </c>
      <c r="L86" s="31"/>
      <c r="M86" s="31">
        <v>20</v>
      </c>
      <c r="N86" s="31"/>
      <c r="O86" s="32">
        <f t="shared" ref="O86:O100" si="6">F86/1000*K86*M86</f>
        <v>74.018000000000001</v>
      </c>
      <c r="P86" s="32">
        <f t="shared" ref="P86:P100" si="7">G86/1000*K86*M86</f>
        <v>15.738</v>
      </c>
      <c r="Q86" s="33">
        <v>33</v>
      </c>
    </row>
    <row r="87" spans="1:17" s="23" customFormat="1" ht="15" customHeight="1" x14ac:dyDescent="0.2">
      <c r="A87" s="24">
        <v>35</v>
      </c>
      <c r="B87" s="24">
        <v>87</v>
      </c>
      <c r="C87" s="25" t="s">
        <v>97</v>
      </c>
      <c r="D87" s="25" t="s">
        <v>35</v>
      </c>
      <c r="E87" s="25" t="s">
        <v>98</v>
      </c>
      <c r="F87" s="26">
        <v>418.63</v>
      </c>
      <c r="G87" s="26">
        <v>128.94999999999999</v>
      </c>
      <c r="H87" s="25"/>
      <c r="K87" s="31">
        <v>10</v>
      </c>
      <c r="L87" s="31"/>
      <c r="M87" s="31">
        <v>20</v>
      </c>
      <c r="N87" s="31"/>
      <c r="O87" s="32">
        <f t="shared" si="6"/>
        <v>83.725999999999999</v>
      </c>
      <c r="P87" s="32">
        <f t="shared" si="7"/>
        <v>25.79</v>
      </c>
      <c r="Q87" s="33">
        <v>35</v>
      </c>
    </row>
    <row r="88" spans="1:17" s="23" customFormat="1" ht="15" customHeight="1" x14ac:dyDescent="0.2">
      <c r="A88" s="24">
        <v>35</v>
      </c>
      <c r="B88" s="24">
        <v>88</v>
      </c>
      <c r="C88" s="25" t="s">
        <v>97</v>
      </c>
      <c r="D88" s="25" t="s">
        <v>35</v>
      </c>
      <c r="E88" s="25" t="s">
        <v>98</v>
      </c>
      <c r="F88" s="26">
        <v>425.14</v>
      </c>
      <c r="G88" s="26">
        <v>130.26</v>
      </c>
      <c r="H88" s="25"/>
      <c r="K88" s="31">
        <v>10</v>
      </c>
      <c r="L88" s="31"/>
      <c r="M88" s="31">
        <v>20</v>
      </c>
      <c r="N88" s="31"/>
      <c r="O88" s="32">
        <f t="shared" si="6"/>
        <v>85.027999999999992</v>
      </c>
      <c r="P88" s="32">
        <f t="shared" si="7"/>
        <v>26.052</v>
      </c>
      <c r="Q88" s="33">
        <v>35</v>
      </c>
    </row>
    <row r="89" spans="1:17" s="23" customFormat="1" ht="15" customHeight="1" x14ac:dyDescent="0.2">
      <c r="A89" s="24">
        <v>36</v>
      </c>
      <c r="B89" s="24">
        <v>89</v>
      </c>
      <c r="C89" s="25" t="s">
        <v>99</v>
      </c>
      <c r="D89" s="25" t="s">
        <v>35</v>
      </c>
      <c r="E89" s="25" t="s">
        <v>100</v>
      </c>
      <c r="F89" s="26">
        <v>333.77</v>
      </c>
      <c r="G89" s="26">
        <v>70.22</v>
      </c>
      <c r="H89" s="25"/>
      <c r="K89" s="31">
        <v>10</v>
      </c>
      <c r="L89" s="31"/>
      <c r="M89" s="31">
        <v>20</v>
      </c>
      <c r="N89" s="31"/>
      <c r="O89" s="32">
        <f t="shared" si="6"/>
        <v>66.753999999999991</v>
      </c>
      <c r="P89" s="32">
        <f t="shared" si="7"/>
        <v>14.044</v>
      </c>
      <c r="Q89" s="33">
        <v>36</v>
      </c>
    </row>
    <row r="90" spans="1:17" s="23" customFormat="1" ht="15" customHeight="1" x14ac:dyDescent="0.2">
      <c r="A90" s="24">
        <v>36</v>
      </c>
      <c r="B90" s="24">
        <v>90</v>
      </c>
      <c r="C90" s="25" t="s">
        <v>99</v>
      </c>
      <c r="D90" s="25" t="s">
        <v>35</v>
      </c>
      <c r="E90" s="25" t="s">
        <v>100</v>
      </c>
      <c r="F90" s="26">
        <v>331.39</v>
      </c>
      <c r="G90" s="26">
        <v>70.3</v>
      </c>
      <c r="H90" s="25"/>
      <c r="K90" s="31">
        <v>10</v>
      </c>
      <c r="L90" s="31"/>
      <c r="M90" s="31">
        <v>20</v>
      </c>
      <c r="N90" s="31"/>
      <c r="O90" s="32">
        <f t="shared" si="6"/>
        <v>66.277999999999992</v>
      </c>
      <c r="P90" s="32">
        <f t="shared" si="7"/>
        <v>14.060000000000002</v>
      </c>
      <c r="Q90" s="33">
        <v>36</v>
      </c>
    </row>
    <row r="91" spans="1:17" s="23" customFormat="1" ht="15" customHeight="1" x14ac:dyDescent="0.2">
      <c r="A91" s="24">
        <v>37</v>
      </c>
      <c r="B91" s="24">
        <v>91</v>
      </c>
      <c r="C91" s="25" t="s">
        <v>101</v>
      </c>
      <c r="D91" s="25" t="s">
        <v>35</v>
      </c>
      <c r="E91" s="25" t="s">
        <v>102</v>
      </c>
      <c r="F91" s="26">
        <v>386.18</v>
      </c>
      <c r="G91" s="26">
        <v>82.06</v>
      </c>
      <c r="H91" s="25"/>
      <c r="K91" s="31">
        <v>10</v>
      </c>
      <c r="L91" s="31"/>
      <c r="M91" s="31">
        <v>20</v>
      </c>
      <c r="N91" s="31"/>
      <c r="O91" s="32">
        <f t="shared" si="6"/>
        <v>77.236000000000004</v>
      </c>
      <c r="P91" s="32">
        <f t="shared" si="7"/>
        <v>16.412000000000003</v>
      </c>
      <c r="Q91" s="33">
        <v>37</v>
      </c>
    </row>
    <row r="92" spans="1:17" s="23" customFormat="1" ht="15" customHeight="1" x14ac:dyDescent="0.2">
      <c r="A92" s="24">
        <v>37</v>
      </c>
      <c r="B92" s="24">
        <v>92</v>
      </c>
      <c r="C92" s="25" t="s">
        <v>101</v>
      </c>
      <c r="D92" s="25" t="s">
        <v>35</v>
      </c>
      <c r="E92" s="25" t="s">
        <v>102</v>
      </c>
      <c r="F92" s="26">
        <v>387.1</v>
      </c>
      <c r="G92" s="26">
        <v>79.94</v>
      </c>
      <c r="H92" s="25"/>
      <c r="K92" s="31">
        <v>10</v>
      </c>
      <c r="L92" s="31"/>
      <c r="M92" s="31">
        <v>20</v>
      </c>
      <c r="N92" s="31"/>
      <c r="O92" s="32">
        <f t="shared" si="6"/>
        <v>77.42</v>
      </c>
      <c r="P92" s="32">
        <f t="shared" si="7"/>
        <v>15.988</v>
      </c>
      <c r="Q92" s="33">
        <v>37</v>
      </c>
    </row>
    <row r="93" spans="1:17" s="23" customFormat="1" ht="15" customHeight="1" x14ac:dyDescent="0.2">
      <c r="A93" s="24">
        <v>38</v>
      </c>
      <c r="B93" s="24">
        <v>93</v>
      </c>
      <c r="C93" s="25" t="s">
        <v>103</v>
      </c>
      <c r="D93" s="25" t="s">
        <v>35</v>
      </c>
      <c r="E93" s="25" t="s">
        <v>104</v>
      </c>
      <c r="F93" s="26">
        <v>297.99</v>
      </c>
      <c r="G93" s="26">
        <v>75.23</v>
      </c>
      <c r="H93" s="25"/>
      <c r="K93" s="31">
        <v>10</v>
      </c>
      <c r="L93" s="31"/>
      <c r="M93" s="31">
        <v>20</v>
      </c>
      <c r="N93" s="31"/>
      <c r="O93" s="32">
        <f t="shared" si="6"/>
        <v>59.598000000000006</v>
      </c>
      <c r="P93" s="32">
        <f t="shared" si="7"/>
        <v>15.046000000000001</v>
      </c>
      <c r="Q93" s="33">
        <v>38</v>
      </c>
    </row>
    <row r="94" spans="1:17" s="23" customFormat="1" ht="15" customHeight="1" x14ac:dyDescent="0.2">
      <c r="A94" s="24">
        <v>38</v>
      </c>
      <c r="B94" s="24">
        <v>94</v>
      </c>
      <c r="C94" s="25" t="s">
        <v>103</v>
      </c>
      <c r="D94" s="25" t="s">
        <v>35</v>
      </c>
      <c r="E94" s="25" t="s">
        <v>104</v>
      </c>
      <c r="F94" s="26">
        <v>297.64999999999998</v>
      </c>
      <c r="G94" s="26">
        <v>75.010000000000005</v>
      </c>
      <c r="H94" s="25"/>
      <c r="K94" s="31">
        <v>10</v>
      </c>
      <c r="L94" s="31"/>
      <c r="M94" s="31">
        <v>20</v>
      </c>
      <c r="N94" s="31"/>
      <c r="O94" s="32">
        <f t="shared" si="6"/>
        <v>59.529999999999994</v>
      </c>
      <c r="P94" s="32">
        <f t="shared" si="7"/>
        <v>15.002000000000002</v>
      </c>
      <c r="Q94" s="33">
        <v>38</v>
      </c>
    </row>
    <row r="95" spans="1:17" s="23" customFormat="1" ht="15" customHeight="1" x14ac:dyDescent="0.2">
      <c r="A95" s="24">
        <v>39</v>
      </c>
      <c r="B95" s="24">
        <v>95</v>
      </c>
      <c r="C95" s="25" t="s">
        <v>105</v>
      </c>
      <c r="D95" s="25" t="s">
        <v>35</v>
      </c>
      <c r="E95" s="25" t="s">
        <v>106</v>
      </c>
      <c r="F95" s="26">
        <v>497.36</v>
      </c>
      <c r="G95" s="26">
        <v>113.52</v>
      </c>
      <c r="H95" s="25"/>
      <c r="K95" s="31">
        <v>10</v>
      </c>
      <c r="L95" s="31"/>
      <c r="M95" s="31">
        <v>20</v>
      </c>
      <c r="N95" s="31"/>
      <c r="O95" s="32">
        <f t="shared" si="6"/>
        <v>99.472000000000008</v>
      </c>
      <c r="P95" s="32">
        <f t="shared" si="7"/>
        <v>22.704000000000001</v>
      </c>
      <c r="Q95" s="33">
        <v>39</v>
      </c>
    </row>
    <row r="96" spans="1:17" s="23" customFormat="1" ht="15" customHeight="1" x14ac:dyDescent="0.2">
      <c r="A96" s="24">
        <v>39</v>
      </c>
      <c r="B96" s="24">
        <v>96</v>
      </c>
      <c r="C96" s="25" t="s">
        <v>105</v>
      </c>
      <c r="D96" s="25" t="s">
        <v>35</v>
      </c>
      <c r="E96" s="25" t="s">
        <v>106</v>
      </c>
      <c r="F96" s="26">
        <v>500</v>
      </c>
      <c r="G96" s="26">
        <v>117.8</v>
      </c>
      <c r="H96" s="25"/>
      <c r="K96" s="31">
        <v>10</v>
      </c>
      <c r="L96" s="31"/>
      <c r="M96" s="31">
        <v>20</v>
      </c>
      <c r="N96" s="31"/>
      <c r="O96" s="32">
        <f t="shared" si="6"/>
        <v>100</v>
      </c>
      <c r="P96" s="32">
        <f t="shared" si="7"/>
        <v>23.56</v>
      </c>
      <c r="Q96" s="33">
        <v>39</v>
      </c>
    </row>
    <row r="97" spans="1:17" s="23" customFormat="1" ht="15" customHeight="1" x14ac:dyDescent="0.2">
      <c r="A97" s="24">
        <v>40</v>
      </c>
      <c r="B97" s="24">
        <v>97</v>
      </c>
      <c r="C97" s="25" t="s">
        <v>107</v>
      </c>
      <c r="D97" s="25" t="s">
        <v>35</v>
      </c>
      <c r="E97" s="25" t="s">
        <v>108</v>
      </c>
      <c r="F97" s="26">
        <v>253.62</v>
      </c>
      <c r="G97" s="26">
        <v>47.57</v>
      </c>
      <c r="H97" s="25"/>
      <c r="K97" s="31">
        <v>10</v>
      </c>
      <c r="L97" s="31"/>
      <c r="M97" s="31">
        <v>20</v>
      </c>
      <c r="N97" s="31"/>
      <c r="O97" s="32">
        <f t="shared" si="6"/>
        <v>50.724000000000004</v>
      </c>
      <c r="P97" s="32">
        <f t="shared" si="7"/>
        <v>9.5139999999999993</v>
      </c>
      <c r="Q97" s="33">
        <v>40</v>
      </c>
    </row>
    <row r="98" spans="1:17" s="23" customFormat="1" ht="15" customHeight="1" x14ac:dyDescent="0.2">
      <c r="A98" s="24">
        <v>40</v>
      </c>
      <c r="B98" s="24">
        <v>98</v>
      </c>
      <c r="C98" s="25" t="s">
        <v>107</v>
      </c>
      <c r="D98" s="25" t="s">
        <v>35</v>
      </c>
      <c r="E98" s="25" t="s">
        <v>108</v>
      </c>
      <c r="F98" s="26">
        <v>251.74</v>
      </c>
      <c r="G98" s="26">
        <v>47.52</v>
      </c>
      <c r="H98" s="25"/>
      <c r="K98" s="31">
        <v>10</v>
      </c>
      <c r="L98" s="31"/>
      <c r="M98" s="31">
        <v>20</v>
      </c>
      <c r="N98" s="31"/>
      <c r="O98" s="32">
        <f t="shared" si="6"/>
        <v>50.348000000000006</v>
      </c>
      <c r="P98" s="32">
        <f t="shared" si="7"/>
        <v>9.5039999999999996</v>
      </c>
      <c r="Q98" s="33">
        <v>40</v>
      </c>
    </row>
    <row r="99" spans="1:17" s="15" customFormat="1" ht="15" customHeight="1" x14ac:dyDescent="0.2">
      <c r="A99" s="16">
        <v>1</v>
      </c>
      <c r="B99" s="16">
        <v>99</v>
      </c>
      <c r="C99" s="17" t="s">
        <v>15</v>
      </c>
      <c r="D99" s="17" t="s">
        <v>16</v>
      </c>
      <c r="E99" s="17" t="s">
        <v>17</v>
      </c>
      <c r="F99" s="18">
        <v>534.19000000000005</v>
      </c>
      <c r="G99" s="18">
        <v>56.36</v>
      </c>
      <c r="H99" s="17"/>
      <c r="K99" s="15">
        <v>10</v>
      </c>
      <c r="M99" s="15">
        <v>10</v>
      </c>
      <c r="O99" s="15">
        <f t="shared" si="6"/>
        <v>53.419000000000011</v>
      </c>
      <c r="P99" s="15">
        <f t="shared" si="7"/>
        <v>5.6360000000000001</v>
      </c>
      <c r="Q99" s="15" t="s">
        <v>112</v>
      </c>
    </row>
    <row r="100" spans="1:17" s="11" customFormat="1" ht="15" customHeight="1" x14ac:dyDescent="0.2">
      <c r="A100" s="12">
        <v>1</v>
      </c>
      <c r="B100" s="12">
        <v>100</v>
      </c>
      <c r="C100" s="13" t="s">
        <v>12</v>
      </c>
      <c r="D100" s="13" t="s">
        <v>13</v>
      </c>
      <c r="E100" s="13" t="s">
        <v>14</v>
      </c>
      <c r="F100" s="14">
        <v>-4.76</v>
      </c>
      <c r="G100" s="14">
        <v>0.6</v>
      </c>
      <c r="H100" s="13"/>
      <c r="K100" s="11">
        <v>10</v>
      </c>
      <c r="M100" s="11">
        <v>10</v>
      </c>
      <c r="O100" s="11">
        <f t="shared" si="6"/>
        <v>-0.47599999999999998</v>
      </c>
      <c r="P100" s="11">
        <f t="shared" si="7"/>
        <v>5.9999999999999991E-2</v>
      </c>
      <c r="Q100" s="11" t="s">
        <v>112</v>
      </c>
    </row>
    <row r="101" spans="1:17" s="15" customFormat="1" ht="15" customHeight="1" x14ac:dyDescent="0.2">
      <c r="A101" s="16">
        <v>1</v>
      </c>
      <c r="B101" s="16">
        <v>109</v>
      </c>
      <c r="C101" s="17" t="s">
        <v>15</v>
      </c>
      <c r="D101" s="17" t="s">
        <v>16</v>
      </c>
      <c r="E101" s="17" t="s">
        <v>17</v>
      </c>
      <c r="F101" s="18">
        <v>527.22</v>
      </c>
      <c r="G101" s="18">
        <v>58.06</v>
      </c>
      <c r="H101" s="17"/>
    </row>
    <row r="102" spans="1:17" s="11" customFormat="1" ht="15" customHeight="1" x14ac:dyDescent="0.2">
      <c r="A102" s="12">
        <v>1</v>
      </c>
      <c r="B102" s="12">
        <v>110</v>
      </c>
      <c r="C102" s="13" t="s">
        <v>12</v>
      </c>
      <c r="D102" s="13" t="s">
        <v>13</v>
      </c>
      <c r="E102" s="13" t="s">
        <v>14</v>
      </c>
      <c r="F102" s="14">
        <v>-4.76</v>
      </c>
      <c r="G102" s="14">
        <v>0.6</v>
      </c>
      <c r="H102" s="13"/>
    </row>
    <row r="103" spans="1:17" s="11" customFormat="1" ht="15" customHeight="1" x14ac:dyDescent="0.2">
      <c r="A103" s="12">
        <v>1</v>
      </c>
      <c r="B103" s="12">
        <v>111</v>
      </c>
      <c r="C103" s="13" t="s">
        <v>109</v>
      </c>
      <c r="D103" s="13" t="s">
        <v>109</v>
      </c>
      <c r="E103" s="13" t="s">
        <v>110</v>
      </c>
      <c r="F103" s="14">
        <v>-4.76</v>
      </c>
      <c r="G103" s="14">
        <v>0.6</v>
      </c>
      <c r="H103" s="13"/>
    </row>
  </sheetData>
  <printOptions headings="1" gridLines="1"/>
  <pageMargins left="0" right="0" top="0" bottom="0" header="0" footer="0"/>
  <pageSetup paperSize="0" pageOrder="overThenDown" orientation="portrait" blackAndWhite="1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44C4-BD5D-4BB9-BE33-C8FEE6A31E57}">
  <dimension ref="A1:X75"/>
  <sheetViews>
    <sheetView workbookViewId="0">
      <selection activeCell="L8" sqref="L8"/>
    </sheetView>
  </sheetViews>
  <sheetFormatPr defaultColWidth="13.25" defaultRowHeight="10.8" x14ac:dyDescent="0.2"/>
  <cols>
    <col min="1" max="1" width="16.75" style="49" bestFit="1" customWidth="1"/>
    <col min="2" max="2" width="23.25" style="49" bestFit="1" customWidth="1"/>
    <col min="3" max="3" width="15.25" style="49" bestFit="1" customWidth="1"/>
    <col min="4" max="4" width="13.25" style="49"/>
    <col min="5" max="5" width="13.5" style="49" bestFit="1" customWidth="1"/>
    <col min="6" max="6" width="16.75" style="49" customWidth="1"/>
    <col min="7" max="7" width="18.75" style="49" customWidth="1"/>
    <col min="8" max="14" width="13.25" style="49"/>
    <col min="15" max="15" width="16.25" style="49" customWidth="1"/>
    <col min="16" max="19" width="13.25" style="49"/>
    <col min="20" max="20" width="21" style="49" customWidth="1"/>
    <col min="21" max="16384" width="13.25" style="49"/>
  </cols>
  <sheetData>
    <row r="1" spans="1:20" ht="19.8" x14ac:dyDescent="0.3">
      <c r="A1" s="64" t="s">
        <v>124</v>
      </c>
      <c r="D1" s="50">
        <v>43640</v>
      </c>
      <c r="F1" s="49" t="s">
        <v>122</v>
      </c>
    </row>
    <row r="2" spans="1:20" x14ac:dyDescent="0.2">
      <c r="D2" s="50"/>
    </row>
    <row r="4" spans="1:20" ht="14.4" x14ac:dyDescent="0.3">
      <c r="B4" s="51" t="s">
        <v>125</v>
      </c>
      <c r="C4" s="51" t="s">
        <v>126</v>
      </c>
      <c r="D4" s="52">
        <f>AVERAGE(D12:D15)</f>
        <v>1592.5</v>
      </c>
      <c r="E4" s="52">
        <f>AVERAGE(E12:E15)</f>
        <v>3.4325925925925926E-2</v>
      </c>
      <c r="F4" s="52">
        <f>AVERAGE(F12:F15)</f>
        <v>7695.75</v>
      </c>
      <c r="G4" s="52">
        <f>AVERAGE(G12:G15)</f>
        <v>0.2353777777777778</v>
      </c>
    </row>
    <row r="5" spans="1:20" ht="14.4" x14ac:dyDescent="0.3">
      <c r="C5" s="53" t="s">
        <v>127</v>
      </c>
      <c r="D5" s="54" t="s">
        <v>128</v>
      </c>
      <c r="E5" s="54" t="s">
        <v>129</v>
      </c>
      <c r="F5" s="54" t="s">
        <v>130</v>
      </c>
    </row>
    <row r="6" spans="1:20" ht="14.4" x14ac:dyDescent="0.3">
      <c r="C6" s="55" t="s">
        <v>131</v>
      </c>
      <c r="D6" s="53">
        <v>135</v>
      </c>
      <c r="E6" s="53">
        <v>14</v>
      </c>
      <c r="F6" s="53">
        <v>96</v>
      </c>
    </row>
    <row r="8" spans="1:20" x14ac:dyDescent="0.2">
      <c r="A8" s="49" t="s">
        <v>132</v>
      </c>
      <c r="B8" s="49" t="s">
        <v>118</v>
      </c>
      <c r="D8" s="49" t="s">
        <v>133</v>
      </c>
      <c r="E8" s="49" t="s">
        <v>134</v>
      </c>
      <c r="F8" s="49" t="s">
        <v>135</v>
      </c>
      <c r="G8" s="49" t="s">
        <v>136</v>
      </c>
      <c r="H8" s="49" t="s">
        <v>137</v>
      </c>
      <c r="I8" s="49" t="s">
        <v>138</v>
      </c>
      <c r="J8" s="49" t="s">
        <v>139</v>
      </c>
    </row>
    <row r="9" spans="1:20" x14ac:dyDescent="0.2">
      <c r="A9" s="49">
        <v>1</v>
      </c>
      <c r="B9" s="49" t="s">
        <v>140</v>
      </c>
      <c r="D9" s="49">
        <v>20</v>
      </c>
      <c r="F9" s="49">
        <v>30</v>
      </c>
      <c r="H9" s="49">
        <v>0.04</v>
      </c>
      <c r="I9" s="49">
        <v>0.09</v>
      </c>
      <c r="J9" s="49">
        <v>2.0735999999999999</v>
      </c>
      <c r="T9" s="56"/>
    </row>
    <row r="10" spans="1:20" x14ac:dyDescent="0.2">
      <c r="A10" s="49">
        <v>1</v>
      </c>
      <c r="B10" s="49" t="s">
        <v>141</v>
      </c>
      <c r="D10" s="49">
        <v>49</v>
      </c>
      <c r="F10" s="49">
        <v>36</v>
      </c>
      <c r="H10" s="49">
        <v>0.1</v>
      </c>
      <c r="I10" s="49">
        <v>0.11</v>
      </c>
      <c r="J10" s="49">
        <v>1.0184</v>
      </c>
      <c r="T10" s="56"/>
    </row>
    <row r="11" spans="1:20" x14ac:dyDescent="0.2">
      <c r="A11" s="49">
        <v>1</v>
      </c>
      <c r="B11" s="49" t="s">
        <v>142</v>
      </c>
      <c r="D11" s="49">
        <v>31</v>
      </c>
      <c r="F11" s="49">
        <v>43</v>
      </c>
      <c r="H11" s="49">
        <v>7.0000000000000007E-2</v>
      </c>
      <c r="I11" s="49">
        <v>0.13</v>
      </c>
      <c r="J11" s="49">
        <v>1.9074</v>
      </c>
      <c r="T11" s="56"/>
    </row>
    <row r="12" spans="1:20" ht="14.4" x14ac:dyDescent="0.3">
      <c r="A12" s="49">
        <v>0.23699999999999999</v>
      </c>
      <c r="B12" s="53" t="s">
        <v>143</v>
      </c>
      <c r="D12" s="51">
        <v>1166</v>
      </c>
      <c r="E12" s="52">
        <f>$E$6/$D$6*A12</f>
        <v>2.4577777777777775E-2</v>
      </c>
      <c r="F12" s="57">
        <v>5539</v>
      </c>
      <c r="G12" s="52">
        <f>$F$6/$D$6*A12</f>
        <v>0.16853333333333334</v>
      </c>
      <c r="H12" s="49">
        <v>10.82</v>
      </c>
      <c r="I12" s="49">
        <v>71.209999999999994</v>
      </c>
      <c r="J12" s="49">
        <v>6.5827</v>
      </c>
      <c r="T12" s="56"/>
    </row>
    <row r="13" spans="1:20" ht="14.4" x14ac:dyDescent="0.3">
      <c r="A13" s="49">
        <v>0.34200000000000003</v>
      </c>
      <c r="B13" s="53" t="s">
        <v>144</v>
      </c>
      <c r="D13" s="51">
        <v>1627</v>
      </c>
      <c r="E13" s="52">
        <f>$E$6/$D$6*A13</f>
        <v>3.5466666666666667E-2</v>
      </c>
      <c r="F13" s="57">
        <v>7923</v>
      </c>
      <c r="G13" s="52">
        <f>$F$6/$D$6*A13</f>
        <v>0.24320000000000003</v>
      </c>
      <c r="H13" s="49">
        <v>10.48</v>
      </c>
      <c r="I13" s="49">
        <v>71.53</v>
      </c>
      <c r="J13" s="49">
        <v>6.8272000000000004</v>
      </c>
      <c r="T13" s="56"/>
    </row>
    <row r="14" spans="1:20" ht="14.4" x14ac:dyDescent="0.3">
      <c r="A14" s="49">
        <v>0.40500000000000003</v>
      </c>
      <c r="B14" s="53" t="s">
        <v>145</v>
      </c>
      <c r="D14" s="51">
        <v>1957</v>
      </c>
      <c r="E14" s="52">
        <f>$E$6/$D$6*A14</f>
        <v>4.2000000000000003E-2</v>
      </c>
      <c r="F14" s="57">
        <v>9426</v>
      </c>
      <c r="G14" s="52">
        <f>$F$6/$D$6*A14</f>
        <v>0.28800000000000003</v>
      </c>
      <c r="H14" s="49">
        <v>10.64</v>
      </c>
      <c r="I14" s="49">
        <v>72.180000000000007</v>
      </c>
      <c r="J14" s="49">
        <v>6.7816999999999998</v>
      </c>
      <c r="T14" s="56"/>
    </row>
    <row r="15" spans="1:20" ht="14.4" x14ac:dyDescent="0.3">
      <c r="A15" s="58">
        <v>0.34</v>
      </c>
      <c r="B15" s="53" t="s">
        <v>146</v>
      </c>
      <c r="D15" s="51">
        <v>1620</v>
      </c>
      <c r="E15" s="52">
        <f>$E$6/$D$6*A15</f>
        <v>3.5259259259259261E-2</v>
      </c>
      <c r="F15" s="57">
        <v>7895</v>
      </c>
      <c r="G15" s="52">
        <f>$F$6/$D$6*A15</f>
        <v>0.24177777777777781</v>
      </c>
      <c r="H15" s="49">
        <v>10.49</v>
      </c>
      <c r="I15" s="49">
        <v>71.69</v>
      </c>
      <c r="J15" s="49">
        <v>6.8311999999999999</v>
      </c>
      <c r="T15" s="56"/>
    </row>
    <row r="16" spans="1:20" ht="14.4" x14ac:dyDescent="0.3">
      <c r="A16" s="49">
        <v>1</v>
      </c>
      <c r="B16" s="49">
        <v>1</v>
      </c>
      <c r="D16" s="49">
        <v>2075</v>
      </c>
      <c r="E16" s="61">
        <f t="shared" ref="E16:E53" si="0">$E$4/$D$4*D16</f>
        <v>4.4726088726088728E-2</v>
      </c>
      <c r="F16" s="49">
        <v>7339</v>
      </c>
      <c r="G16" s="62">
        <f t="shared" ref="G16:G53" si="1">$G$4/$F$4*F16</f>
        <v>0.22446642771804065</v>
      </c>
      <c r="H16" s="49">
        <v>4.57</v>
      </c>
      <c r="I16" s="49">
        <v>22.61</v>
      </c>
      <c r="J16" s="49">
        <v>4.9489000000000001</v>
      </c>
      <c r="T16" s="56"/>
    </row>
    <row r="17" spans="1:23" ht="14.4" x14ac:dyDescent="0.3">
      <c r="A17" s="49">
        <v>1</v>
      </c>
      <c r="B17" s="49">
        <v>2</v>
      </c>
      <c r="D17" s="49">
        <v>2115</v>
      </c>
      <c r="E17" s="61">
        <f t="shared" si="0"/>
        <v>4.5588278388278392E-2</v>
      </c>
      <c r="F17" s="49">
        <v>7347</v>
      </c>
      <c r="G17" s="62">
        <f t="shared" si="1"/>
        <v>0.22471111111111114</v>
      </c>
      <c r="H17" s="49">
        <v>4.66</v>
      </c>
      <c r="I17" s="49">
        <v>22.63</v>
      </c>
      <c r="J17" s="49">
        <v>4.8608000000000002</v>
      </c>
      <c r="T17" s="56"/>
    </row>
    <row r="18" spans="1:23" ht="14.4" x14ac:dyDescent="0.3">
      <c r="A18" s="49">
        <v>1</v>
      </c>
      <c r="B18" s="49">
        <v>3</v>
      </c>
      <c r="D18" s="49">
        <v>2752</v>
      </c>
      <c r="E18" s="61">
        <f t="shared" si="0"/>
        <v>5.9318648758648763E-2</v>
      </c>
      <c r="F18" s="49">
        <v>9668</v>
      </c>
      <c r="G18" s="62">
        <f t="shared" si="1"/>
        <v>0.29569988052568702</v>
      </c>
      <c r="H18" s="49">
        <v>6.05</v>
      </c>
      <c r="I18" s="49">
        <v>30</v>
      </c>
      <c r="J18" s="49">
        <v>4.9565000000000001</v>
      </c>
      <c r="T18" s="56"/>
    </row>
    <row r="19" spans="1:23" ht="14.4" x14ac:dyDescent="0.3">
      <c r="A19" s="49">
        <v>1</v>
      </c>
      <c r="B19" s="49">
        <v>4</v>
      </c>
      <c r="D19" s="49">
        <v>1830</v>
      </c>
      <c r="E19" s="61">
        <f t="shared" si="0"/>
        <v>3.9445177045177048E-2</v>
      </c>
      <c r="F19" s="49">
        <v>6696</v>
      </c>
      <c r="G19" s="62">
        <f t="shared" si="1"/>
        <v>0.20480000000000004</v>
      </c>
      <c r="H19" s="49">
        <v>4.03</v>
      </c>
      <c r="I19" s="49">
        <v>20.56</v>
      </c>
      <c r="J19" s="49">
        <v>5.1018999999999997</v>
      </c>
      <c r="T19" s="56"/>
    </row>
    <row r="20" spans="1:23" ht="14.4" x14ac:dyDescent="0.3">
      <c r="A20" s="49">
        <v>1</v>
      </c>
      <c r="B20" s="49">
        <v>5</v>
      </c>
      <c r="D20" s="49">
        <v>1472</v>
      </c>
      <c r="E20" s="61">
        <f t="shared" si="0"/>
        <v>3.1728579568579572E-2</v>
      </c>
      <c r="F20" s="49">
        <v>4802</v>
      </c>
      <c r="G20" s="62">
        <f t="shared" si="1"/>
        <v>0.14687120669056156</v>
      </c>
      <c r="H20" s="49">
        <v>3.24</v>
      </c>
      <c r="I20" s="49">
        <v>14.53</v>
      </c>
      <c r="J20" s="49">
        <v>4.4816000000000003</v>
      </c>
      <c r="T20" s="56"/>
    </row>
    <row r="21" spans="1:23" ht="14.4" x14ac:dyDescent="0.3">
      <c r="A21" s="49">
        <v>1</v>
      </c>
      <c r="B21" s="49">
        <v>6</v>
      </c>
      <c r="D21" s="49">
        <v>1064</v>
      </c>
      <c r="E21" s="61">
        <f t="shared" si="0"/>
        <v>2.2934245014245017E-2</v>
      </c>
      <c r="F21" s="49">
        <v>3728</v>
      </c>
      <c r="G21" s="62">
        <f t="shared" si="1"/>
        <v>0.11402246117084829</v>
      </c>
      <c r="H21" s="49">
        <v>2.34</v>
      </c>
      <c r="I21" s="49">
        <v>11.1</v>
      </c>
      <c r="J21" s="49">
        <v>4.7470999999999997</v>
      </c>
      <c r="T21" s="56"/>
    </row>
    <row r="22" spans="1:23" ht="14.4" x14ac:dyDescent="0.3">
      <c r="A22" s="49">
        <v>1</v>
      </c>
      <c r="B22" s="49">
        <v>7</v>
      </c>
      <c r="D22" s="49">
        <v>2101</v>
      </c>
      <c r="E22" s="61">
        <f t="shared" si="0"/>
        <v>4.5286512006512007E-2</v>
      </c>
      <c r="F22" s="49">
        <v>7009</v>
      </c>
      <c r="G22" s="62">
        <f t="shared" si="1"/>
        <v>0.21437323775388295</v>
      </c>
      <c r="H22" s="49">
        <v>4.63</v>
      </c>
      <c r="I22" s="49">
        <v>21.56</v>
      </c>
      <c r="J22" s="49">
        <v>4.6601999999999997</v>
      </c>
      <c r="T22" s="56"/>
      <c r="U22" s="58"/>
      <c r="V22" s="58"/>
      <c r="W22" s="58"/>
    </row>
    <row r="23" spans="1:23" ht="14.4" x14ac:dyDescent="0.3">
      <c r="A23" s="49">
        <v>1</v>
      </c>
      <c r="B23" s="49">
        <v>8</v>
      </c>
      <c r="D23" s="49">
        <v>1526</v>
      </c>
      <c r="E23" s="61">
        <f t="shared" si="0"/>
        <v>3.2892535612535613E-2</v>
      </c>
      <c r="F23" s="49">
        <v>5432</v>
      </c>
      <c r="G23" s="62">
        <f t="shared" si="1"/>
        <v>0.16614002389486263</v>
      </c>
      <c r="H23" s="49">
        <v>3.36</v>
      </c>
      <c r="I23" s="49">
        <v>16.54</v>
      </c>
      <c r="J23" s="49">
        <v>4.9222000000000001</v>
      </c>
      <c r="T23" s="56"/>
    </row>
    <row r="24" spans="1:23" ht="14.4" x14ac:dyDescent="0.3">
      <c r="A24" s="49">
        <v>1</v>
      </c>
      <c r="B24" s="49">
        <v>9</v>
      </c>
      <c r="D24" s="49">
        <v>1491</v>
      </c>
      <c r="E24" s="61">
        <f t="shared" si="0"/>
        <v>3.2138119658119663E-2</v>
      </c>
      <c r="F24" s="49">
        <v>4727</v>
      </c>
      <c r="G24" s="62">
        <f t="shared" si="1"/>
        <v>0.1445772998805257</v>
      </c>
      <c r="H24" s="49">
        <v>3.28</v>
      </c>
      <c r="I24" s="49">
        <v>14.29</v>
      </c>
      <c r="J24" s="49">
        <v>4.3506</v>
      </c>
      <c r="T24" s="56"/>
      <c r="U24" s="58"/>
      <c r="V24" s="58"/>
      <c r="W24" s="58"/>
    </row>
    <row r="25" spans="1:23" ht="14.4" x14ac:dyDescent="0.3">
      <c r="A25" s="49">
        <v>1</v>
      </c>
      <c r="B25" s="49">
        <v>10</v>
      </c>
      <c r="D25" s="49">
        <v>1138</v>
      </c>
      <c r="E25" s="61">
        <f t="shared" si="0"/>
        <v>2.452929588929589E-2</v>
      </c>
      <c r="F25" s="49">
        <v>4408</v>
      </c>
      <c r="G25" s="62">
        <f t="shared" si="1"/>
        <v>0.13482054958183992</v>
      </c>
      <c r="H25" s="49">
        <v>2.5</v>
      </c>
      <c r="I25" s="49">
        <v>13.27</v>
      </c>
      <c r="J25" s="49">
        <v>5.3041999999999998</v>
      </c>
      <c r="T25" s="56"/>
    </row>
    <row r="26" spans="1:23" ht="14.4" x14ac:dyDescent="0.3">
      <c r="A26" s="49">
        <v>1</v>
      </c>
      <c r="B26" s="49">
        <v>11</v>
      </c>
      <c r="D26" s="49">
        <v>1461</v>
      </c>
      <c r="E26" s="61">
        <f t="shared" si="0"/>
        <v>3.1491477411477412E-2</v>
      </c>
      <c r="F26" s="49">
        <v>5086</v>
      </c>
      <c r="G26" s="62">
        <f t="shared" si="1"/>
        <v>0.15555746714456395</v>
      </c>
      <c r="H26" s="49">
        <v>3.22</v>
      </c>
      <c r="I26" s="49">
        <v>15.43</v>
      </c>
      <c r="J26" s="49">
        <v>4.7991000000000001</v>
      </c>
      <c r="T26" s="56"/>
      <c r="U26" s="58"/>
      <c r="V26" s="58"/>
      <c r="W26" s="58"/>
    </row>
    <row r="27" spans="1:23" ht="14.4" x14ac:dyDescent="0.3">
      <c r="A27" s="49">
        <v>1</v>
      </c>
      <c r="B27" s="49">
        <v>12</v>
      </c>
      <c r="D27" s="49">
        <v>1167</v>
      </c>
      <c r="E27" s="61">
        <f t="shared" si="0"/>
        <v>2.5154383394383396E-2</v>
      </c>
      <c r="F27" s="49">
        <v>4175</v>
      </c>
      <c r="G27" s="62">
        <f t="shared" si="1"/>
        <v>0.12769414575866192</v>
      </c>
      <c r="H27" s="49">
        <v>2.57</v>
      </c>
      <c r="I27" s="49">
        <v>12.53</v>
      </c>
      <c r="J27" s="49">
        <v>4.8807999999999998</v>
      </c>
      <c r="T27" s="56"/>
    </row>
    <row r="28" spans="1:23" ht="14.4" x14ac:dyDescent="0.3">
      <c r="A28" s="49">
        <v>1</v>
      </c>
      <c r="B28" s="49">
        <v>13</v>
      </c>
      <c r="D28" s="49">
        <v>1472</v>
      </c>
      <c r="E28" s="61">
        <f t="shared" si="0"/>
        <v>3.1728579568579572E-2</v>
      </c>
      <c r="F28" s="49">
        <v>5072</v>
      </c>
      <c r="G28" s="62">
        <f t="shared" si="1"/>
        <v>0.15512927120669059</v>
      </c>
      <c r="H28" s="49">
        <v>3.24</v>
      </c>
      <c r="I28" s="49">
        <v>15.39</v>
      </c>
      <c r="J28" s="49">
        <v>4.7495000000000003</v>
      </c>
      <c r="T28" s="56"/>
      <c r="U28" s="58"/>
      <c r="V28" s="58"/>
      <c r="W28" s="58"/>
    </row>
    <row r="29" spans="1:23" ht="14.4" x14ac:dyDescent="0.3">
      <c r="A29" s="49">
        <v>1</v>
      </c>
      <c r="B29" s="49">
        <v>14</v>
      </c>
      <c r="D29" s="49">
        <v>1058</v>
      </c>
      <c r="E29" s="61">
        <f t="shared" si="0"/>
        <v>2.2804916564916566E-2</v>
      </c>
      <c r="F29" s="49">
        <v>4116</v>
      </c>
      <c r="G29" s="62">
        <f t="shared" si="1"/>
        <v>0.12588960573476704</v>
      </c>
      <c r="H29" s="49">
        <v>2.3199999999999998</v>
      </c>
      <c r="I29" s="49">
        <v>12.33</v>
      </c>
      <c r="J29" s="49">
        <v>5.3090000000000002</v>
      </c>
      <c r="T29" s="56"/>
    </row>
    <row r="30" spans="1:23" ht="14.4" x14ac:dyDescent="0.3">
      <c r="A30" s="49">
        <v>1</v>
      </c>
      <c r="B30" s="49">
        <v>15</v>
      </c>
      <c r="D30" s="49">
        <v>1801</v>
      </c>
      <c r="E30" s="61">
        <f t="shared" si="0"/>
        <v>3.8820089540089545E-2</v>
      </c>
      <c r="F30" s="49">
        <v>6419</v>
      </c>
      <c r="G30" s="62">
        <f t="shared" si="1"/>
        <v>0.19632783751493432</v>
      </c>
      <c r="H30" s="49">
        <v>3.97</v>
      </c>
      <c r="I30" s="49">
        <v>19.68</v>
      </c>
      <c r="J30" s="49">
        <v>4.9611000000000001</v>
      </c>
      <c r="T30" s="56"/>
      <c r="U30" s="58"/>
      <c r="V30" s="58"/>
      <c r="W30" s="58"/>
    </row>
    <row r="31" spans="1:23" ht="14.4" x14ac:dyDescent="0.3">
      <c r="A31" s="49">
        <v>1</v>
      </c>
      <c r="B31" s="49">
        <v>16</v>
      </c>
      <c r="D31" s="49">
        <v>1452</v>
      </c>
      <c r="E31" s="61">
        <f t="shared" si="0"/>
        <v>3.129748473748474E-2</v>
      </c>
      <c r="F31" s="49">
        <v>5138</v>
      </c>
      <c r="G31" s="62">
        <f t="shared" si="1"/>
        <v>0.15714790919952212</v>
      </c>
      <c r="H31" s="49">
        <v>3.2</v>
      </c>
      <c r="I31" s="49">
        <v>15.6</v>
      </c>
      <c r="J31" s="49">
        <v>4.8813000000000004</v>
      </c>
      <c r="T31" s="56"/>
    </row>
    <row r="32" spans="1:23" ht="14.4" x14ac:dyDescent="0.3">
      <c r="A32" s="49">
        <v>1</v>
      </c>
      <c r="B32" s="49">
        <v>17</v>
      </c>
      <c r="D32" s="49">
        <v>3478</v>
      </c>
      <c r="E32" s="61">
        <f t="shared" si="0"/>
        <v>7.4967391127391134E-2</v>
      </c>
      <c r="F32" s="49">
        <v>11786</v>
      </c>
      <c r="G32" s="62">
        <f t="shared" si="1"/>
        <v>0.3604798088410992</v>
      </c>
      <c r="H32" s="49">
        <v>7.64</v>
      </c>
      <c r="I32" s="49">
        <v>36.71</v>
      </c>
      <c r="J32" s="49">
        <v>4.8066000000000004</v>
      </c>
      <c r="T32" s="56"/>
      <c r="U32" s="58"/>
      <c r="V32" s="58"/>
      <c r="W32" s="58"/>
    </row>
    <row r="33" spans="1:20" ht="14.4" x14ac:dyDescent="0.3">
      <c r="A33" s="49">
        <v>1</v>
      </c>
      <c r="B33" s="49">
        <v>18</v>
      </c>
      <c r="D33" s="49">
        <v>1638</v>
      </c>
      <c r="E33" s="61">
        <f t="shared" si="0"/>
        <v>3.5306666666666667E-2</v>
      </c>
      <c r="F33" s="49">
        <v>5547</v>
      </c>
      <c r="G33" s="62">
        <f t="shared" si="1"/>
        <v>0.16965734767025092</v>
      </c>
      <c r="H33" s="49">
        <v>3.61</v>
      </c>
      <c r="I33" s="49">
        <v>16.899999999999999</v>
      </c>
      <c r="J33" s="49">
        <v>4.6866000000000003</v>
      </c>
      <c r="T33" s="56"/>
    </row>
    <row r="34" spans="1:20" ht="14.4" x14ac:dyDescent="0.3">
      <c r="A34" s="49">
        <v>1</v>
      </c>
      <c r="B34" s="49">
        <v>19</v>
      </c>
      <c r="D34" s="49">
        <v>3104</v>
      </c>
      <c r="E34" s="61">
        <f t="shared" si="0"/>
        <v>6.6905917785917784E-2</v>
      </c>
      <c r="F34" s="49">
        <v>10479</v>
      </c>
      <c r="G34" s="62">
        <f t="shared" si="1"/>
        <v>0.32050465949820794</v>
      </c>
      <c r="H34" s="49">
        <v>6.82</v>
      </c>
      <c r="I34" s="49">
        <v>32.57</v>
      </c>
      <c r="J34" s="49">
        <v>4.7752999999999997</v>
      </c>
    </row>
    <row r="35" spans="1:20" ht="14.4" x14ac:dyDescent="0.3">
      <c r="A35" s="49">
        <v>1</v>
      </c>
      <c r="B35" s="49">
        <v>20</v>
      </c>
      <c r="D35" s="49">
        <v>1072</v>
      </c>
      <c r="E35" s="61">
        <f t="shared" si="0"/>
        <v>2.3106682946682947E-2</v>
      </c>
      <c r="F35" s="49">
        <v>3646</v>
      </c>
      <c r="G35" s="62">
        <f t="shared" si="1"/>
        <v>0.11151445639187577</v>
      </c>
      <c r="H35" s="49">
        <v>2.36</v>
      </c>
      <c r="I35" s="49">
        <v>10.83</v>
      </c>
      <c r="J35" s="49">
        <v>4.5998000000000001</v>
      </c>
    </row>
    <row r="36" spans="1:20" ht="14.4" x14ac:dyDescent="0.3">
      <c r="A36" s="49">
        <v>1</v>
      </c>
      <c r="B36" s="49">
        <v>21</v>
      </c>
      <c r="D36" s="49">
        <v>2360</v>
      </c>
      <c r="E36" s="61">
        <f t="shared" si="0"/>
        <v>5.0869190069190072E-2</v>
      </c>
      <c r="F36" s="49">
        <v>8182</v>
      </c>
      <c r="G36" s="62">
        <f t="shared" si="1"/>
        <v>0.25024994026284353</v>
      </c>
      <c r="H36" s="49">
        <v>5.19</v>
      </c>
      <c r="I36" s="49">
        <v>25.29</v>
      </c>
      <c r="J36" s="49">
        <v>4.8691000000000004</v>
      </c>
    </row>
    <row r="37" spans="1:20" ht="14.4" x14ac:dyDescent="0.3">
      <c r="A37" s="49">
        <v>1</v>
      </c>
      <c r="B37" s="49">
        <v>22</v>
      </c>
      <c r="D37" s="49">
        <v>2049</v>
      </c>
      <c r="E37" s="61">
        <f t="shared" si="0"/>
        <v>4.4165665445665449E-2</v>
      </c>
      <c r="F37" s="49">
        <v>7281</v>
      </c>
      <c r="G37" s="62">
        <f t="shared" si="1"/>
        <v>0.22269247311827961</v>
      </c>
      <c r="H37" s="49">
        <v>4.51</v>
      </c>
      <c r="I37" s="49">
        <v>22.42</v>
      </c>
      <c r="J37" s="49">
        <v>4.97</v>
      </c>
    </row>
    <row r="38" spans="1:20" ht="14.4" x14ac:dyDescent="0.3">
      <c r="A38" s="49">
        <v>1</v>
      </c>
      <c r="B38" s="49">
        <v>23</v>
      </c>
      <c r="D38" s="49">
        <v>1302</v>
      </c>
      <c r="E38" s="61">
        <f t="shared" si="0"/>
        <v>2.8064273504273506E-2</v>
      </c>
      <c r="F38" s="49">
        <v>3499</v>
      </c>
      <c r="G38" s="62">
        <f t="shared" si="1"/>
        <v>0.10701839904420551</v>
      </c>
      <c r="H38" s="49">
        <v>2.86</v>
      </c>
      <c r="I38" s="49">
        <v>10.37</v>
      </c>
      <c r="J38" s="49">
        <v>3.6211000000000002</v>
      </c>
    </row>
    <row r="39" spans="1:20" ht="14.4" x14ac:dyDescent="0.3">
      <c r="A39" s="49">
        <v>1</v>
      </c>
      <c r="B39" s="49">
        <v>24</v>
      </c>
      <c r="D39" s="49">
        <v>650</v>
      </c>
      <c r="E39" s="61">
        <f t="shared" si="0"/>
        <v>1.4010582010582012E-2</v>
      </c>
      <c r="F39" s="49">
        <v>2496</v>
      </c>
      <c r="G39" s="62">
        <f t="shared" si="1"/>
        <v>7.6341218637992841E-2</v>
      </c>
      <c r="H39" s="49">
        <v>1.41</v>
      </c>
      <c r="I39" s="49">
        <v>7.4</v>
      </c>
      <c r="J39" s="49">
        <v>5.2290000000000001</v>
      </c>
    </row>
    <row r="40" spans="1:20" ht="14.4" x14ac:dyDescent="0.3">
      <c r="A40" s="49">
        <v>1</v>
      </c>
      <c r="B40" s="49">
        <v>25</v>
      </c>
      <c r="D40" s="49">
        <v>2131</v>
      </c>
      <c r="E40" s="61">
        <f t="shared" si="0"/>
        <v>4.5933154253154258E-2</v>
      </c>
      <c r="F40" s="49">
        <v>7662</v>
      </c>
      <c r="G40" s="62">
        <f t="shared" si="1"/>
        <v>0.23434551971326167</v>
      </c>
      <c r="H40" s="49">
        <v>4.6900000000000004</v>
      </c>
      <c r="I40" s="49">
        <v>23.64</v>
      </c>
      <c r="J40" s="49">
        <v>5.0380000000000003</v>
      </c>
    </row>
    <row r="41" spans="1:20" ht="14.4" x14ac:dyDescent="0.3">
      <c r="A41" s="49">
        <v>1</v>
      </c>
      <c r="B41" s="49">
        <v>26</v>
      </c>
      <c r="D41" s="49">
        <v>2863</v>
      </c>
      <c r="E41" s="61">
        <f t="shared" si="0"/>
        <v>6.1711225071225076E-2</v>
      </c>
      <c r="F41" s="49">
        <v>9939</v>
      </c>
      <c r="G41" s="62">
        <f t="shared" si="1"/>
        <v>0.30398853046594987</v>
      </c>
      <c r="H41" s="49">
        <v>6.29</v>
      </c>
      <c r="I41" s="49">
        <v>30.86</v>
      </c>
      <c r="J41" s="49">
        <v>4.9031000000000002</v>
      </c>
    </row>
    <row r="42" spans="1:20" ht="14.4" x14ac:dyDescent="0.3">
      <c r="A42" s="49">
        <v>1</v>
      </c>
      <c r="B42" s="49">
        <v>28</v>
      </c>
      <c r="D42" s="49">
        <v>2720</v>
      </c>
      <c r="E42" s="61">
        <f t="shared" si="0"/>
        <v>5.8628897028897037E-2</v>
      </c>
      <c r="F42" s="49">
        <v>8967</v>
      </c>
      <c r="G42" s="62">
        <f t="shared" si="1"/>
        <v>0.27425949820788537</v>
      </c>
      <c r="H42" s="49">
        <v>5.98</v>
      </c>
      <c r="I42" s="49">
        <v>27.78</v>
      </c>
      <c r="J42" s="49">
        <v>4.6432000000000002</v>
      </c>
    </row>
    <row r="43" spans="1:20" ht="14.4" x14ac:dyDescent="0.3">
      <c r="A43" s="49">
        <v>1</v>
      </c>
      <c r="B43" s="49">
        <v>30</v>
      </c>
      <c r="D43" s="49">
        <v>1206</v>
      </c>
      <c r="E43" s="61">
        <f t="shared" si="0"/>
        <v>2.5995018315018319E-2</v>
      </c>
      <c r="F43" s="49">
        <v>4319</v>
      </c>
      <c r="G43" s="62">
        <f t="shared" si="1"/>
        <v>0.13209844683393074</v>
      </c>
      <c r="H43" s="49">
        <v>2.65</v>
      </c>
      <c r="I43" s="49">
        <v>12.98</v>
      </c>
      <c r="J43" s="49">
        <v>4.8964999999999996</v>
      </c>
    </row>
    <row r="44" spans="1:20" ht="14.4" x14ac:dyDescent="0.3">
      <c r="A44" s="49">
        <v>1</v>
      </c>
      <c r="B44" s="49">
        <v>31</v>
      </c>
      <c r="D44" s="49">
        <v>2214</v>
      </c>
      <c r="E44" s="61">
        <f t="shared" si="0"/>
        <v>4.7722197802197809E-2</v>
      </c>
      <c r="F44" s="49">
        <v>8284</v>
      </c>
      <c r="G44" s="62">
        <f t="shared" si="1"/>
        <v>0.25336965352449226</v>
      </c>
      <c r="H44" s="49">
        <v>4.88</v>
      </c>
      <c r="I44" s="49">
        <v>25.61</v>
      </c>
      <c r="J44" s="49">
        <v>5.2534999999999998</v>
      </c>
    </row>
    <row r="45" spans="1:20" ht="14.4" x14ac:dyDescent="0.3">
      <c r="A45" s="49">
        <v>1</v>
      </c>
      <c r="B45" s="49">
        <v>32</v>
      </c>
      <c r="D45" s="49">
        <v>1284</v>
      </c>
      <c r="E45" s="61">
        <f t="shared" si="0"/>
        <v>2.767628815628816E-2</v>
      </c>
      <c r="F45" s="49">
        <v>4704</v>
      </c>
      <c r="G45" s="62">
        <f t="shared" si="1"/>
        <v>0.14387383512544805</v>
      </c>
      <c r="H45" s="49">
        <v>2.82</v>
      </c>
      <c r="I45" s="49">
        <v>14.21</v>
      </c>
      <c r="J45" s="49">
        <v>5.0321999999999996</v>
      </c>
    </row>
    <row r="46" spans="1:20" ht="14.4" x14ac:dyDescent="0.3">
      <c r="A46" s="49">
        <v>1</v>
      </c>
      <c r="B46" s="49">
        <v>33</v>
      </c>
      <c r="D46" s="49">
        <v>663</v>
      </c>
      <c r="E46" s="61">
        <f t="shared" si="0"/>
        <v>1.4290793650793651E-2</v>
      </c>
      <c r="F46" s="49">
        <v>2137</v>
      </c>
      <c r="G46" s="62">
        <f t="shared" si="1"/>
        <v>6.5361051373954607E-2</v>
      </c>
      <c r="H46" s="49">
        <v>1.44</v>
      </c>
      <c r="I46" s="49">
        <v>6.33</v>
      </c>
      <c r="J46" s="49">
        <v>4.3836000000000004</v>
      </c>
    </row>
    <row r="47" spans="1:20" ht="14.4" x14ac:dyDescent="0.3">
      <c r="A47" s="49">
        <v>1</v>
      </c>
      <c r="B47" s="49">
        <v>34</v>
      </c>
      <c r="D47" s="49">
        <v>1406</v>
      </c>
      <c r="E47" s="61">
        <f t="shared" si="0"/>
        <v>3.0305966625966629E-2</v>
      </c>
      <c r="F47" s="49">
        <v>5202</v>
      </c>
      <c r="G47" s="62">
        <f t="shared" si="1"/>
        <v>0.15910537634408606</v>
      </c>
      <c r="H47" s="49">
        <v>3.09</v>
      </c>
      <c r="I47" s="49">
        <v>15.8</v>
      </c>
      <c r="J47" s="49">
        <v>5.1066000000000003</v>
      </c>
    </row>
    <row r="48" spans="1:20" ht="14.4" x14ac:dyDescent="0.3">
      <c r="A48" s="49">
        <v>1</v>
      </c>
      <c r="B48" s="49">
        <v>35</v>
      </c>
      <c r="D48" s="49">
        <v>724</v>
      </c>
      <c r="E48" s="61">
        <f t="shared" si="0"/>
        <v>1.5605632885632888E-2</v>
      </c>
      <c r="F48" s="49">
        <v>3036</v>
      </c>
      <c r="G48" s="62">
        <f t="shared" si="1"/>
        <v>9.2857347670250917E-2</v>
      </c>
      <c r="H48" s="49">
        <v>1.58</v>
      </c>
      <c r="I48" s="49">
        <v>9</v>
      </c>
      <c r="J48" s="49">
        <v>5.6952999999999996</v>
      </c>
    </row>
    <row r="49" spans="1:10" ht="14.4" x14ac:dyDescent="0.3">
      <c r="A49" s="49">
        <v>1</v>
      </c>
      <c r="B49" s="49">
        <v>36</v>
      </c>
      <c r="D49" s="49">
        <v>2539</v>
      </c>
      <c r="E49" s="61">
        <f t="shared" si="0"/>
        <v>5.472748880748881E-2</v>
      </c>
      <c r="F49" s="49">
        <v>8952</v>
      </c>
      <c r="G49" s="62">
        <f t="shared" si="1"/>
        <v>0.2738007168458782</v>
      </c>
      <c r="H49" s="49">
        <v>5.59</v>
      </c>
      <c r="I49" s="49">
        <v>27.73</v>
      </c>
      <c r="J49" s="49">
        <v>4.9650999999999996</v>
      </c>
    </row>
    <row r="50" spans="1:10" ht="14.4" x14ac:dyDescent="0.3">
      <c r="A50" s="49">
        <v>1</v>
      </c>
      <c r="B50" s="49">
        <v>37</v>
      </c>
      <c r="D50" s="49">
        <v>1439</v>
      </c>
      <c r="E50" s="61">
        <f t="shared" si="0"/>
        <v>3.1017273097273101E-2</v>
      </c>
      <c r="F50" s="49">
        <v>4293</v>
      </c>
      <c r="G50" s="62">
        <f t="shared" si="1"/>
        <v>0.13130322580645162</v>
      </c>
      <c r="H50" s="49">
        <v>3.17</v>
      </c>
      <c r="I50" s="49">
        <v>12.9</v>
      </c>
      <c r="J50" s="49">
        <v>4.0735999999999999</v>
      </c>
    </row>
    <row r="51" spans="1:10" ht="14.4" x14ac:dyDescent="0.3">
      <c r="A51" s="49">
        <v>1</v>
      </c>
      <c r="B51" s="49">
        <v>38</v>
      </c>
      <c r="D51" s="49">
        <v>2485</v>
      </c>
      <c r="E51" s="61">
        <f t="shared" si="0"/>
        <v>5.3563532763532769E-2</v>
      </c>
      <c r="F51" s="49">
        <v>8043</v>
      </c>
      <c r="G51" s="62">
        <f t="shared" si="1"/>
        <v>0.24599856630824377</v>
      </c>
      <c r="H51" s="49">
        <v>5.47</v>
      </c>
      <c r="I51" s="49">
        <v>24.85</v>
      </c>
      <c r="J51" s="49">
        <v>4.5444000000000004</v>
      </c>
    </row>
    <row r="52" spans="1:10" ht="14.4" x14ac:dyDescent="0.3">
      <c r="A52" s="49">
        <v>1</v>
      </c>
      <c r="B52" s="49">
        <v>39</v>
      </c>
      <c r="D52" s="49">
        <v>1596</v>
      </c>
      <c r="E52" s="61">
        <f t="shared" si="0"/>
        <v>3.4401367521367521E-2</v>
      </c>
      <c r="F52" s="49">
        <v>5451</v>
      </c>
      <c r="G52" s="62">
        <f t="shared" si="1"/>
        <v>0.16672114695340504</v>
      </c>
      <c r="H52" s="49">
        <v>3.51</v>
      </c>
      <c r="I52" s="49">
        <v>16.600000000000001</v>
      </c>
      <c r="J52" s="49">
        <v>4.7225000000000001</v>
      </c>
    </row>
    <row r="53" spans="1:10" ht="14.4" x14ac:dyDescent="0.3">
      <c r="A53" s="49">
        <v>1</v>
      </c>
      <c r="B53" s="49">
        <v>40</v>
      </c>
      <c r="D53" s="49">
        <v>1977</v>
      </c>
      <c r="E53" s="61">
        <f t="shared" si="0"/>
        <v>4.2613724053724059E-2</v>
      </c>
      <c r="F53" s="49">
        <v>6513</v>
      </c>
      <c r="G53" s="62">
        <f t="shared" si="1"/>
        <v>0.19920286738351259</v>
      </c>
      <c r="H53" s="49">
        <v>4.3499999999999996</v>
      </c>
      <c r="I53" s="49">
        <v>19.98</v>
      </c>
      <c r="J53" s="49">
        <v>4.5892999999999997</v>
      </c>
    </row>
    <row r="64" spans="1:10" x14ac:dyDescent="0.2">
      <c r="E64" s="59"/>
    </row>
    <row r="71" spans="24:24" x14ac:dyDescent="0.2">
      <c r="X71" s="60"/>
    </row>
    <row r="73" spans="24:24" x14ac:dyDescent="0.2">
      <c r="X73" s="60"/>
    </row>
    <row r="75" spans="24:24" x14ac:dyDescent="0.2">
      <c r="X75" s="60"/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15_ChlamEE-24062019-NC</vt:lpstr>
      <vt:lpstr>Nutiens C-N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Laurich</dc:creator>
  <cp:lastModifiedBy>Jason Laurich</cp:lastModifiedBy>
  <dcterms:created xsi:type="dcterms:W3CDTF">2019-06-24T11:30:10Z</dcterms:created>
  <dcterms:modified xsi:type="dcterms:W3CDTF">2025-02-28T16:38:38Z</dcterms:modified>
</cp:coreProperties>
</file>