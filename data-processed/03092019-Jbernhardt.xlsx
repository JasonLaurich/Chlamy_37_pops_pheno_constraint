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_37_pops_pheno_constraint/data-processed/"/>
    </mc:Choice>
  </mc:AlternateContent>
  <xr:revisionPtr revIDLastSave="0" documentId="8_{64814EAD-C370-49DE-A0B4-A32B313B52B5}" xr6:coauthVersionLast="47" xr6:coauthVersionMax="47" xr10:uidLastSave="{00000000-0000-0000-0000-000000000000}"/>
  <bookViews>
    <workbookView xWindow="-108" yWindow="-108" windowWidth="23256" windowHeight="12456" tabRatio="500" xr2:uid="{879E92AA-21CB-4CA3-B76A-AC5230EB1CE7}"/>
  </bookViews>
  <sheets>
    <sheet name="Pigmente" sheetId="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5" l="1"/>
  <c r="K11" i="5"/>
  <c r="G11" i="5"/>
  <c r="H11" i="5"/>
  <c r="Q53" i="5"/>
  <c r="M53" i="5"/>
  <c r="I53" i="5"/>
  <c r="Q52" i="5"/>
  <c r="M52" i="5"/>
  <c r="I52" i="5"/>
  <c r="Q51" i="5"/>
  <c r="M51" i="5"/>
  <c r="I51" i="5"/>
  <c r="Q50" i="5"/>
  <c r="M50" i="5"/>
  <c r="I50" i="5"/>
  <c r="Q49" i="5"/>
  <c r="M49" i="5"/>
  <c r="I49" i="5"/>
  <c r="Q48" i="5"/>
  <c r="M48" i="5"/>
  <c r="I48" i="5"/>
  <c r="Q47" i="5"/>
  <c r="M47" i="5"/>
  <c r="I47" i="5"/>
  <c r="Q46" i="5"/>
  <c r="M46" i="5"/>
  <c r="I46" i="5"/>
  <c r="Q45" i="5"/>
  <c r="M45" i="5"/>
  <c r="I45" i="5"/>
  <c r="Q44" i="5"/>
  <c r="M44" i="5"/>
  <c r="I44" i="5"/>
  <c r="Q43" i="5"/>
  <c r="M43" i="5"/>
  <c r="I43" i="5"/>
  <c r="Q42" i="5"/>
  <c r="M42" i="5"/>
  <c r="I42" i="5"/>
  <c r="Q41" i="5"/>
  <c r="M41" i="5"/>
  <c r="I41" i="5"/>
  <c r="Q40" i="5"/>
  <c r="M40" i="5"/>
  <c r="I40" i="5"/>
  <c r="Q39" i="5"/>
  <c r="M39" i="5"/>
  <c r="I39" i="5"/>
  <c r="Q38" i="5"/>
  <c r="M38" i="5"/>
  <c r="I38" i="5"/>
  <c r="Q37" i="5"/>
  <c r="M37" i="5"/>
  <c r="I37" i="5"/>
  <c r="Q36" i="5"/>
  <c r="M36" i="5"/>
  <c r="I36" i="5"/>
  <c r="Q35" i="5"/>
  <c r="M35" i="5"/>
  <c r="I35" i="5"/>
  <c r="Q34" i="5"/>
  <c r="M34" i="5"/>
  <c r="I34" i="5"/>
  <c r="Q33" i="5"/>
  <c r="M33" i="5"/>
  <c r="I33" i="5"/>
  <c r="Q32" i="5"/>
  <c r="M32" i="5"/>
  <c r="I32" i="5"/>
  <c r="Q31" i="5"/>
  <c r="M31" i="5"/>
  <c r="I31" i="5"/>
  <c r="Q30" i="5"/>
  <c r="M30" i="5"/>
  <c r="I30" i="5"/>
  <c r="Q29" i="5"/>
  <c r="M29" i="5"/>
  <c r="I29" i="5"/>
  <c r="Q28" i="5"/>
  <c r="M28" i="5"/>
  <c r="I28" i="5"/>
  <c r="Q27" i="5"/>
  <c r="M27" i="5"/>
  <c r="I27" i="5"/>
  <c r="Q26" i="5"/>
  <c r="M26" i="5"/>
  <c r="I26" i="5"/>
  <c r="Q25" i="5"/>
  <c r="M25" i="5"/>
  <c r="I25" i="5"/>
  <c r="Q24" i="5"/>
  <c r="M24" i="5"/>
  <c r="I24" i="5"/>
  <c r="Q23" i="5"/>
  <c r="M23" i="5"/>
  <c r="I23" i="5"/>
  <c r="Q22" i="5"/>
  <c r="M22" i="5"/>
  <c r="I22" i="5"/>
  <c r="Q21" i="5"/>
  <c r="M21" i="5"/>
  <c r="I21" i="5"/>
  <c r="Q20" i="5"/>
  <c r="M20" i="5"/>
  <c r="I20" i="5"/>
  <c r="Q19" i="5"/>
  <c r="M19" i="5"/>
  <c r="I19" i="5"/>
  <c r="Q18" i="5"/>
  <c r="M18" i="5"/>
  <c r="I18" i="5"/>
  <c r="Q17" i="5"/>
  <c r="M17" i="5"/>
  <c r="I17" i="5"/>
</calcChain>
</file>

<file path=xl/sharedStrings.xml><?xml version="1.0" encoding="utf-8"?>
<sst xmlns="http://schemas.openxmlformats.org/spreadsheetml/2006/main" count="75" uniqueCount="63">
  <si>
    <t>3</t>
  </si>
  <si>
    <t>4</t>
  </si>
  <si>
    <t>5</t>
  </si>
  <si>
    <t>6</t>
  </si>
  <si>
    <t>7</t>
  </si>
  <si>
    <t>8</t>
  </si>
  <si>
    <t>9</t>
  </si>
  <si>
    <t>10</t>
  </si>
  <si>
    <t>11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</si>
  <si>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</si>
  <si>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</si>
  <si>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</si>
  <si>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</si>
  <si>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</si>
  <si>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</si>
  <si>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</si>
  <si>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</si>
  <si>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</si>
  <si>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</si>
  <si>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</si>
  <si>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</si>
  <si>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</si>
  <si>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</si>
  <si>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</si>
  <si>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</si>
  <si>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</si>
  <si>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</si>
  <si>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</si>
  <si>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</si>
  <si>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</si>
  <si>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</si>
  <si>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</si>
  <si>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</si>
  <si>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</si>
  <si>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12</t>
  </si>
  <si>
    <t>13</t>
  </si>
  <si>
    <t>34</t>
  </si>
  <si>
    <t>Ethanol 90% ig ml</t>
  </si>
  <si>
    <t>Daniel Steiner</t>
  </si>
  <si>
    <t>Standards</t>
  </si>
  <si>
    <t>Filter in:</t>
  </si>
  <si>
    <t>ml   90%iges ETOH</t>
  </si>
  <si>
    <t>430nm</t>
  </si>
  <si>
    <t>Inject. Vol</t>
  </si>
  <si>
    <t>460nm</t>
  </si>
  <si>
    <t>450nm</t>
  </si>
  <si>
    <t>Chromatogram Name</t>
  </si>
  <si>
    <t>CHL-A</t>
  </si>
  <si>
    <t>µg/L</t>
  </si>
  <si>
    <t>CHL-B</t>
  </si>
  <si>
    <t>Luthein</t>
  </si>
  <si>
    <t>STD1</t>
  </si>
  <si>
    <t>STD2</t>
  </si>
  <si>
    <t>STD3</t>
  </si>
  <si>
    <t>Durchschnitt</t>
  </si>
  <si>
    <t>Proben</t>
  </si>
  <si>
    <t>Datum</t>
  </si>
  <si>
    <t>HPLC Nummer</t>
  </si>
  <si>
    <t>Filtrations-Volumen</t>
  </si>
  <si>
    <t>Inject. Vol µl</t>
  </si>
  <si>
    <t>µg/Liter</t>
  </si>
  <si>
    <t>Pigments by HPLC</t>
  </si>
  <si>
    <t xml:space="preserve">Select the right  Volumina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</si>
</sst>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0"/>
    <numFmt numFmtId="181" formatCode="0_ "/>
  </numFmts>
  <fonts count="9" x14ac:knownFonts="1">
    <font>
      <sz val="8.25"/>
      <name val="Microsoft Sans Serif"/>
    </font>
    <font>
      <sz val="10"/>
      <name val="Microsoft Sans Serif"/>
      <family val="2"/>
    </font>
    <font>
      <sz val="14"/>
      <name val="Microsoft Sans Serif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26">
    <xf numFmtId="0" fontId="0" fillId="0" borderId="0" xfId="0" applyAlignment="1">
      <alignment vertical="top"/>
      <protection locked="0"/>
    </xf>
    <xf numFmtId="0" fontId="0" fillId="0" borderId="0" xfId="0" applyProtection="1"/>
    <xf numFmtId="0" fontId="3" fillId="0" borderId="0" xfId="0" applyFont="1" applyProtection="1"/>
    <xf numFmtId="0" fontId="0" fillId="0" borderId="0" xfId="0" applyAlignment="1" applyProtection="1">
      <alignment horizontal="right"/>
    </xf>
    <xf numFmtId="49" fontId="0" fillId="0" borderId="0" xfId="0" applyNumberFormat="1" applyAlignment="1" applyProtection="1">
      <alignment horizontal="right"/>
    </xf>
    <xf numFmtId="181" fontId="0" fillId="0" borderId="0" xfId="0" applyNumberFormat="1" applyAlignment="1" applyProtection="1">
      <alignment horizontal="right"/>
    </xf>
    <xf numFmtId="15" fontId="0" fillId="0" borderId="0" xfId="0" applyNumberFormat="1" applyProtection="1"/>
    <xf numFmtId="0" fontId="4" fillId="0" borderId="0" xfId="0" applyFont="1" applyProtection="1"/>
    <xf numFmtId="0" fontId="5" fillId="0" borderId="0" xfId="0" applyFont="1" applyProtection="1"/>
    <xf numFmtId="49" fontId="0" fillId="0" borderId="0" xfId="0" applyNumberFormat="1" applyProtection="1"/>
    <xf numFmtId="181" fontId="0" fillId="0" borderId="0" xfId="0" applyNumberFormat="1" applyProtection="1"/>
    <xf numFmtId="181" fontId="6" fillId="0" borderId="0" xfId="0" applyNumberFormat="1" applyFont="1" applyProtection="1"/>
    <xf numFmtId="181" fontId="6" fillId="0" borderId="0" xfId="0" applyNumberFormat="1" applyFont="1" applyAlignment="1" applyProtection="1">
      <alignment horizontal="right"/>
    </xf>
    <xf numFmtId="49" fontId="7" fillId="2" borderId="0" xfId="0" applyNumberFormat="1" applyFont="1" applyFill="1" applyProtection="1"/>
    <xf numFmtId="49" fontId="5" fillId="0" borderId="0" xfId="0" applyNumberFormat="1" applyFont="1" applyProtection="1"/>
    <xf numFmtId="0" fontId="0" fillId="2" borderId="0" xfId="0" applyFill="1" applyProtection="1"/>
    <xf numFmtId="0" fontId="8" fillId="0" borderId="0" xfId="0" applyFont="1" applyProtection="1"/>
    <xf numFmtId="49" fontId="8" fillId="0" borderId="0" xfId="0" applyNumberFormat="1" applyFont="1" applyProtection="1"/>
    <xf numFmtId="15" fontId="6" fillId="0" borderId="0" xfId="0" applyNumberFormat="1" applyFont="1" applyProtection="1"/>
    <xf numFmtId="181" fontId="6" fillId="2" borderId="0" xfId="0" applyNumberFormat="1" applyFont="1" applyFill="1" applyProtection="1"/>
    <xf numFmtId="180" fontId="8" fillId="0" borderId="0" xfId="0" applyNumberFormat="1" applyFont="1" applyProtection="1"/>
    <xf numFmtId="180" fontId="0" fillId="0" borderId="0" xfId="0" applyNumberFormat="1" applyProtection="1"/>
    <xf numFmtId="0" fontId="6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49" fontId="1" fillId="0" borderId="0" xfId="0" applyNumberFormat="1" applyFont="1" applyAlignment="1" applyProtection="1">
      <alignment horizontal="right"/>
    </xf>
    <xf numFmtId="0" fontId="2" fillId="0" borderId="0" xfId="0" applyFont="1" applyProtection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EB9F-0053-49DA-A4E3-539671299E4E}">
  <dimension ref="A1:R54"/>
  <sheetViews>
    <sheetView tabSelected="1" topLeftCell="E5" workbookViewId="0">
      <selection activeCell="A3" sqref="A3"/>
    </sheetView>
  </sheetViews>
  <sheetFormatPr defaultColWidth="10.75" defaultRowHeight="10.8" x14ac:dyDescent="0.2"/>
  <cols>
    <col min="1" max="1" width="10.75" style="1"/>
    <col min="2" max="2" width="31.75" style="1" bestFit="1" customWidth="1"/>
    <col min="3" max="4" width="31.75" style="1" customWidth="1"/>
    <col min="5" max="5" width="12.5" style="1" customWidth="1"/>
    <col min="6" max="6" width="44.5" style="1" customWidth="1"/>
    <col min="7" max="8" width="16.5" style="1" customWidth="1"/>
    <col min="9" max="9" width="13.25" style="1" bestFit="1" customWidth="1"/>
    <col min="10" max="10" width="5" style="1" bestFit="1" customWidth="1"/>
    <col min="11" max="12" width="16.5" style="1" customWidth="1"/>
    <col min="13" max="13" width="13.25" style="1" customWidth="1"/>
    <col min="14" max="14" width="5" style="1" bestFit="1" customWidth="1"/>
    <col min="15" max="15" width="29.5" style="3" customWidth="1"/>
    <col min="16" max="16" width="10.5" style="1" bestFit="1" customWidth="1"/>
    <col min="17" max="17" width="13.25" style="1" customWidth="1"/>
    <col min="18" max="18" width="12" style="1" bestFit="1" customWidth="1"/>
    <col min="19" max="16384" width="10.75" style="1"/>
  </cols>
  <sheetData>
    <row r="1" spans="1:18" ht="18" x14ac:dyDescent="0.35">
      <c r="A1" s="25" t="s">
        <v>61</v>
      </c>
    </row>
    <row r="3" spans="1:18" x14ac:dyDescent="0.2">
      <c r="B3" s="1" t="s">
        <v>37</v>
      </c>
      <c r="C3" s="6">
        <v>43711</v>
      </c>
      <c r="D3" s="3" t="s">
        <v>38</v>
      </c>
    </row>
    <row r="5" spans="1:18" ht="18" x14ac:dyDescent="0.35">
      <c r="B5" s="8" t="s">
        <v>39</v>
      </c>
      <c r="C5" s="23" t="s">
        <v>40</v>
      </c>
      <c r="D5" s="8"/>
      <c r="E5" s="8"/>
    </row>
    <row r="6" spans="1:18" ht="14.4" x14ac:dyDescent="0.3">
      <c r="C6" s="22">
        <v>8</v>
      </c>
      <c r="D6" s="24" t="s">
        <v>41</v>
      </c>
      <c r="G6" s="1" t="s">
        <v>42</v>
      </c>
      <c r="H6" s="1" t="s">
        <v>43</v>
      </c>
      <c r="K6" s="1" t="s">
        <v>44</v>
      </c>
      <c r="Q6" s="1" t="s">
        <v>45</v>
      </c>
    </row>
    <row r="7" spans="1:18" ht="14.4" x14ac:dyDescent="0.3">
      <c r="B7" s="9" t="s">
        <v>46</v>
      </c>
      <c r="C7" s="9"/>
      <c r="D7" s="9"/>
      <c r="E7" s="9"/>
      <c r="F7" s="9"/>
      <c r="G7" s="9" t="s">
        <v>47</v>
      </c>
      <c r="H7" s="9"/>
      <c r="I7" s="2">
        <v>4837</v>
      </c>
      <c r="J7" s="1" t="s">
        <v>48</v>
      </c>
      <c r="K7" s="9" t="s">
        <v>49</v>
      </c>
      <c r="L7" s="9"/>
      <c r="M7" s="2">
        <v>1690</v>
      </c>
      <c r="N7" s="1" t="s">
        <v>48</v>
      </c>
      <c r="O7" s="4" t="s">
        <v>50</v>
      </c>
      <c r="P7" s="9"/>
      <c r="Q7" s="2">
        <v>979</v>
      </c>
      <c r="R7" s="1" t="s">
        <v>48</v>
      </c>
    </row>
    <row r="8" spans="1:18" x14ac:dyDescent="0.2">
      <c r="A8" s="10">
        <v>71</v>
      </c>
      <c r="B8" s="9" t="s">
        <v>51</v>
      </c>
      <c r="C8" s="9"/>
      <c r="D8" s="9"/>
      <c r="E8" s="9"/>
      <c r="F8" s="10"/>
      <c r="G8" s="10">
        <v>301285</v>
      </c>
      <c r="H8" s="10">
        <v>20</v>
      </c>
      <c r="K8" s="10">
        <v>150873</v>
      </c>
      <c r="L8" s="10"/>
      <c r="M8" s="10">
        <v>20</v>
      </c>
      <c r="O8" s="5">
        <v>84077</v>
      </c>
      <c r="P8" s="10"/>
      <c r="Q8" s="10">
        <v>10</v>
      </c>
    </row>
    <row r="9" spans="1:18" x14ac:dyDescent="0.2">
      <c r="A9" s="10">
        <v>72</v>
      </c>
      <c r="B9" s="9" t="s">
        <v>52</v>
      </c>
      <c r="C9" s="9"/>
      <c r="D9" s="9"/>
      <c r="E9" s="9"/>
      <c r="F9" s="10"/>
      <c r="G9" s="10"/>
      <c r="H9" s="10"/>
      <c r="K9" s="10"/>
      <c r="L9" s="10"/>
      <c r="M9" s="10"/>
      <c r="O9" s="5"/>
      <c r="P9" s="10"/>
      <c r="Q9" s="10"/>
    </row>
    <row r="10" spans="1:18" x14ac:dyDescent="0.2">
      <c r="A10" s="10">
        <v>73</v>
      </c>
      <c r="B10" s="9" t="s">
        <v>53</v>
      </c>
      <c r="C10" s="9"/>
      <c r="D10" s="9"/>
      <c r="E10" s="9"/>
      <c r="F10" s="10"/>
      <c r="G10" s="10"/>
      <c r="H10" s="10"/>
      <c r="I10" s="3"/>
      <c r="K10" s="10"/>
      <c r="L10" s="10"/>
      <c r="M10" s="10"/>
      <c r="O10" s="5"/>
      <c r="P10" s="10"/>
      <c r="Q10" s="10"/>
    </row>
    <row r="11" spans="1:18" ht="14.4" x14ac:dyDescent="0.3">
      <c r="A11" s="10"/>
      <c r="B11" s="9" t="s">
        <v>54</v>
      </c>
      <c r="C11" s="9"/>
      <c r="D11" s="9"/>
      <c r="E11" s="9"/>
      <c r="F11" s="10"/>
      <c r="G11" s="11">
        <f>AVERAGE(G8:G10)</f>
        <v>301285</v>
      </c>
      <c r="H11" s="11">
        <f>H8</f>
        <v>20</v>
      </c>
      <c r="K11" s="11">
        <f>AVERAGE(K8:K10)</f>
        <v>150873</v>
      </c>
      <c r="L11" s="11"/>
      <c r="M11" s="10">
        <v>20</v>
      </c>
      <c r="O11" s="12">
        <f>AVERAGE(O8:O10)</f>
        <v>84077</v>
      </c>
      <c r="P11" s="11"/>
      <c r="Q11" s="11">
        <v>10</v>
      </c>
    </row>
    <row r="12" spans="1:18" ht="14.4" x14ac:dyDescent="0.3">
      <c r="A12" s="10"/>
      <c r="B12" s="9"/>
      <c r="C12" s="9"/>
      <c r="D12" s="9"/>
      <c r="E12" s="9"/>
      <c r="F12" s="10"/>
      <c r="G12" s="11"/>
      <c r="H12" s="11"/>
      <c r="K12" s="11"/>
      <c r="L12" s="11"/>
      <c r="O12" s="12"/>
      <c r="P12" s="11"/>
    </row>
    <row r="13" spans="1:18" ht="21" x14ac:dyDescent="0.4">
      <c r="A13" s="10"/>
      <c r="B13" s="9"/>
      <c r="D13" s="9"/>
      <c r="E13" s="9"/>
      <c r="F13" s="13" t="s">
        <v>62</v>
      </c>
      <c r="G13" s="11"/>
      <c r="H13" s="11"/>
      <c r="K13" s="11"/>
      <c r="L13" s="11"/>
      <c r="O13" s="12"/>
      <c r="P13" s="11"/>
    </row>
    <row r="14" spans="1:18" ht="18" x14ac:dyDescent="0.35">
      <c r="A14" s="10"/>
      <c r="B14" s="14" t="s">
        <v>55</v>
      </c>
      <c r="C14" s="14"/>
      <c r="D14" s="14"/>
      <c r="E14" s="14"/>
      <c r="F14" s="10"/>
      <c r="G14" s="10"/>
      <c r="H14" s="10"/>
      <c r="K14" s="10"/>
      <c r="L14" s="10"/>
      <c r="O14" s="5"/>
      <c r="P14" s="10"/>
    </row>
    <row r="15" spans="1:18" ht="14.4" x14ac:dyDescent="0.3">
      <c r="B15" s="9"/>
      <c r="C15" s="1" t="s">
        <v>56</v>
      </c>
      <c r="D15" s="1" t="s">
        <v>57</v>
      </c>
      <c r="F15" s="15" t="s">
        <v>58</v>
      </c>
      <c r="H15" s="1" t="s">
        <v>59</v>
      </c>
      <c r="I15" s="16" t="s">
        <v>60</v>
      </c>
      <c r="L15" s="1" t="s">
        <v>59</v>
      </c>
      <c r="M15" s="16" t="s">
        <v>60</v>
      </c>
      <c r="P15" s="1" t="s">
        <v>59</v>
      </c>
      <c r="Q15" s="16" t="s">
        <v>60</v>
      </c>
    </row>
    <row r="16" spans="1:18" ht="14.4" x14ac:dyDescent="0.3">
      <c r="A16" s="9"/>
      <c r="C16" s="9"/>
      <c r="D16" s="9"/>
      <c r="E16" s="9"/>
      <c r="F16" s="9"/>
      <c r="G16" s="9" t="s">
        <v>47</v>
      </c>
      <c r="I16" s="17" t="s">
        <v>47</v>
      </c>
      <c r="K16" s="9" t="s">
        <v>49</v>
      </c>
      <c r="M16" s="17" t="s">
        <v>49</v>
      </c>
      <c r="O16" s="4" t="s">
        <v>50</v>
      </c>
      <c r="Q16" s="17" t="s">
        <v>50</v>
      </c>
    </row>
    <row r="17" spans="2:17" ht="14.4" x14ac:dyDescent="0.3">
      <c r="B17" s="9" t="s">
        <v>0</v>
      </c>
      <c r="C17" s="18"/>
      <c r="D17" s="10">
        <v>1</v>
      </c>
      <c r="E17" s="10"/>
      <c r="F17" s="19">
        <v>500</v>
      </c>
      <c r="G17" s="10">
        <v>36231</v>
      </c>
      <c r="H17" s="1">
        <v>50</v>
      </c>
      <c r="I17" s="20">
        <f>I$7/G$11*G17/F17*$C$6*H$11/H17</f>
        <v>3.7227071404152214</v>
      </c>
      <c r="J17" s="21"/>
      <c r="K17" s="10">
        <v>20925</v>
      </c>
      <c r="L17" s="1">
        <v>50</v>
      </c>
      <c r="M17" s="20">
        <f>M$7/K$11*K17/F17*$C$6*M$11/L17</f>
        <v>1.5001014097949932</v>
      </c>
      <c r="N17" s="21"/>
      <c r="O17" s="10">
        <v>8820</v>
      </c>
      <c r="P17" s="7">
        <v>50</v>
      </c>
      <c r="Q17" s="20">
        <f t="shared" ref="Q17:Q53" si="0">Q$7/O$11*O17/F17*$C$6*Q$11/P17</f>
        <v>0.32864274415119477</v>
      </c>
    </row>
    <row r="18" spans="2:17" ht="14.4" x14ac:dyDescent="0.3">
      <c r="B18" s="9" t="s">
        <v>1</v>
      </c>
      <c r="D18" s="10">
        <v>2</v>
      </c>
      <c r="F18" s="19">
        <v>500</v>
      </c>
      <c r="G18" s="10">
        <v>61947</v>
      </c>
      <c r="H18" s="1">
        <v>50</v>
      </c>
      <c r="I18" s="20">
        <f t="shared" ref="I18:I53" si="1">I$7/G$11*G18/F18*$C$6*H$11/H18</f>
        <v>6.3650061888245348</v>
      </c>
      <c r="J18" s="21"/>
      <c r="K18" s="10">
        <v>34326</v>
      </c>
      <c r="L18" s="1">
        <v>50</v>
      </c>
      <c r="M18" s="20">
        <f t="shared" ref="M18:M53" si="2">M$7/K$11*K18/F18*$C$6*M$11/L18</f>
        <v>2.4608115169712277</v>
      </c>
      <c r="O18" s="10">
        <v>14927</v>
      </c>
      <c r="P18" s="7">
        <v>50</v>
      </c>
      <c r="Q18" s="20">
        <f t="shared" si="0"/>
        <v>0.55619617255610931</v>
      </c>
    </row>
    <row r="19" spans="2:17" ht="14.4" x14ac:dyDescent="0.3">
      <c r="B19" s="9" t="s">
        <v>2</v>
      </c>
      <c r="C19" s="18"/>
      <c r="D19" s="10">
        <v>3</v>
      </c>
      <c r="E19" s="10"/>
      <c r="F19" s="19">
        <v>500</v>
      </c>
      <c r="G19" s="10">
        <v>80755</v>
      </c>
      <c r="H19" s="1">
        <v>50</v>
      </c>
      <c r="I19" s="20">
        <f t="shared" si="1"/>
        <v>8.2975135967605418</v>
      </c>
      <c r="J19" s="21"/>
      <c r="K19" s="10">
        <v>47373</v>
      </c>
      <c r="L19" s="1">
        <v>50</v>
      </c>
      <c r="M19" s="20">
        <f t="shared" si="2"/>
        <v>3.3961435644548725</v>
      </c>
      <c r="N19" s="21"/>
      <c r="O19" s="10">
        <v>18556</v>
      </c>
      <c r="P19" s="7">
        <v>50</v>
      </c>
      <c r="Q19" s="20">
        <f t="shared" si="0"/>
        <v>0.69141663950902144</v>
      </c>
    </row>
    <row r="20" spans="2:17" ht="14.4" x14ac:dyDescent="0.3">
      <c r="B20" s="9" t="s">
        <v>3</v>
      </c>
      <c r="D20" s="10">
        <v>4</v>
      </c>
      <c r="F20" s="19">
        <v>500</v>
      </c>
      <c r="G20" s="10">
        <v>128600</v>
      </c>
      <c r="H20" s="1">
        <v>50</v>
      </c>
      <c r="I20" s="20">
        <f t="shared" si="1"/>
        <v>13.213550226529698</v>
      </c>
      <c r="J20" s="21"/>
      <c r="K20" s="10">
        <v>78957</v>
      </c>
      <c r="L20" s="1">
        <v>50</v>
      </c>
      <c r="M20" s="20">
        <f t="shared" si="2"/>
        <v>5.6603826529597745</v>
      </c>
      <c r="O20" s="10">
        <v>33607</v>
      </c>
      <c r="P20" s="7">
        <v>50</v>
      </c>
      <c r="Q20" s="20">
        <f t="shared" si="0"/>
        <v>1.252233186245941</v>
      </c>
    </row>
    <row r="21" spans="2:17" ht="14.4" x14ac:dyDescent="0.3">
      <c r="B21" s="9" t="s">
        <v>4</v>
      </c>
      <c r="D21" s="10">
        <v>5</v>
      </c>
      <c r="F21" s="19">
        <v>500</v>
      </c>
      <c r="G21" s="10">
        <v>54705</v>
      </c>
      <c r="H21" s="1">
        <v>50</v>
      </c>
      <c r="I21" s="20">
        <f t="shared" si="1"/>
        <v>5.6208963074829486</v>
      </c>
      <c r="J21" s="21"/>
      <c r="K21" s="10">
        <v>43959</v>
      </c>
      <c r="L21" s="1">
        <v>50</v>
      </c>
      <c r="M21" s="20">
        <f t="shared" si="2"/>
        <v>3.1513958362331231</v>
      </c>
      <c r="O21" s="10">
        <v>20698</v>
      </c>
      <c r="P21" s="7">
        <v>50</v>
      </c>
      <c r="Q21" s="20">
        <f t="shared" si="0"/>
        <v>0.77122987737431159</v>
      </c>
    </row>
    <row r="22" spans="2:17" ht="14.4" x14ac:dyDescent="0.3">
      <c r="B22" s="9" t="s">
        <v>5</v>
      </c>
      <c r="C22" s="18"/>
      <c r="D22" s="10">
        <v>6</v>
      </c>
      <c r="E22" s="10"/>
      <c r="F22" s="19">
        <v>500</v>
      </c>
      <c r="G22" s="10">
        <v>13364</v>
      </c>
      <c r="H22" s="1">
        <v>50</v>
      </c>
      <c r="I22" s="20">
        <f t="shared" si="1"/>
        <v>1.3731406316278609</v>
      </c>
      <c r="J22" s="21"/>
      <c r="K22" s="10">
        <v>9374</v>
      </c>
      <c r="L22" s="1">
        <v>50</v>
      </c>
      <c r="M22" s="20">
        <f t="shared" si="2"/>
        <v>0.67201675581449305</v>
      </c>
      <c r="N22" s="21"/>
      <c r="O22" s="10">
        <v>10877</v>
      </c>
      <c r="P22" s="7">
        <v>50</v>
      </c>
      <c r="Q22" s="20">
        <f t="shared" si="0"/>
        <v>0.40528879003770357</v>
      </c>
    </row>
    <row r="23" spans="2:17" ht="14.4" x14ac:dyDescent="0.3">
      <c r="B23" s="9" t="s">
        <v>6</v>
      </c>
      <c r="C23" s="18"/>
      <c r="D23" s="10">
        <v>7</v>
      </c>
      <c r="E23" s="10"/>
      <c r="F23" s="19">
        <v>500</v>
      </c>
      <c r="G23" s="10">
        <v>99016</v>
      </c>
      <c r="H23" s="1">
        <v>50</v>
      </c>
      <c r="I23" s="20">
        <f t="shared" si="1"/>
        <v>10.173817179082929</v>
      </c>
      <c r="J23" s="21"/>
      <c r="K23" s="10">
        <v>64633</v>
      </c>
      <c r="L23" s="1">
        <v>50</v>
      </c>
      <c r="M23" s="20">
        <f t="shared" si="2"/>
        <v>4.633503198053992</v>
      </c>
      <c r="N23" s="21"/>
      <c r="O23" s="10">
        <v>26309</v>
      </c>
      <c r="P23" s="7">
        <v>50</v>
      </c>
      <c r="Q23" s="20">
        <f t="shared" si="0"/>
        <v>0.98030180905598441</v>
      </c>
    </row>
    <row r="24" spans="2:17" ht="14.4" x14ac:dyDescent="0.3">
      <c r="B24" s="9" t="s">
        <v>7</v>
      </c>
      <c r="D24" s="10">
        <v>8</v>
      </c>
      <c r="F24" s="19">
        <v>500</v>
      </c>
      <c r="G24" s="10">
        <v>54489</v>
      </c>
      <c r="H24" s="1">
        <v>50</v>
      </c>
      <c r="I24" s="20">
        <f t="shared" si="1"/>
        <v>5.5987024750651377</v>
      </c>
      <c r="J24" s="21"/>
      <c r="K24" s="10">
        <v>32513</v>
      </c>
      <c r="L24" s="1">
        <v>50</v>
      </c>
      <c r="M24" s="20">
        <f t="shared" si="2"/>
        <v>2.3308385728394079</v>
      </c>
      <c r="O24" s="10">
        <v>12226</v>
      </c>
      <c r="P24" s="7">
        <v>50</v>
      </c>
      <c r="Q24" s="20">
        <f t="shared" si="0"/>
        <v>0.45555398979506884</v>
      </c>
    </row>
    <row r="25" spans="2:17" ht="14.4" x14ac:dyDescent="0.3">
      <c r="B25" s="9" t="s">
        <v>8</v>
      </c>
      <c r="C25" s="18"/>
      <c r="D25" s="10">
        <v>9</v>
      </c>
      <c r="E25" s="10"/>
      <c r="F25" s="19">
        <v>500</v>
      </c>
      <c r="G25" s="10">
        <v>86623</v>
      </c>
      <c r="H25" s="1">
        <v>50</v>
      </c>
      <c r="I25" s="20">
        <f t="shared" si="1"/>
        <v>8.9004460441110584</v>
      </c>
      <c r="J25" s="21"/>
      <c r="K25" s="10">
        <v>51875</v>
      </c>
      <c r="L25" s="1">
        <v>50</v>
      </c>
      <c r="M25" s="20">
        <f t="shared" si="2"/>
        <v>3.7188893970425458</v>
      </c>
      <c r="O25" s="10">
        <v>21575</v>
      </c>
      <c r="P25" s="7">
        <v>50</v>
      </c>
      <c r="Q25" s="20">
        <f t="shared" si="0"/>
        <v>0.80390784637891455</v>
      </c>
    </row>
    <row r="26" spans="2:17" ht="14.4" x14ac:dyDescent="0.3">
      <c r="B26" s="9" t="s">
        <v>34</v>
      </c>
      <c r="D26" s="10">
        <v>10</v>
      </c>
      <c r="F26" s="19">
        <v>500</v>
      </c>
      <c r="G26" s="10">
        <v>136231</v>
      </c>
      <c r="H26" s="1">
        <v>50</v>
      </c>
      <c r="I26" s="20">
        <f t="shared" si="1"/>
        <v>13.997629556068178</v>
      </c>
      <c r="J26" s="21"/>
      <c r="K26" s="10">
        <v>79043</v>
      </c>
      <c r="L26" s="1">
        <v>50</v>
      </c>
      <c r="M26" s="20">
        <f t="shared" si="2"/>
        <v>5.6665479442975206</v>
      </c>
      <c r="O26" s="10">
        <v>29083</v>
      </c>
      <c r="P26" s="7">
        <v>50</v>
      </c>
      <c r="Q26" s="20">
        <f t="shared" si="0"/>
        <v>1.0836640508105666</v>
      </c>
    </row>
    <row r="27" spans="2:17" ht="14.4" x14ac:dyDescent="0.3">
      <c r="B27" s="9" t="s">
        <v>35</v>
      </c>
      <c r="C27" s="18"/>
      <c r="D27" s="10">
        <v>11</v>
      </c>
      <c r="E27" s="10"/>
      <c r="F27" s="19">
        <v>500</v>
      </c>
      <c r="G27" s="10">
        <v>104960</v>
      </c>
      <c r="H27" s="1">
        <v>50</v>
      </c>
      <c r="I27" s="20">
        <f t="shared" si="1"/>
        <v>10.78455856746934</v>
      </c>
      <c r="J27" s="21"/>
      <c r="K27" s="10">
        <v>62013</v>
      </c>
      <c r="L27" s="1">
        <v>50</v>
      </c>
      <c r="M27" s="20">
        <f t="shared" si="2"/>
        <v>4.445676880555169</v>
      </c>
      <c r="N27" s="21"/>
      <c r="O27" s="10">
        <v>24719</v>
      </c>
      <c r="P27" s="7">
        <v>50</v>
      </c>
      <c r="Q27" s="20">
        <f t="shared" si="0"/>
        <v>0.9210566885117214</v>
      </c>
    </row>
    <row r="28" spans="2:17" ht="14.4" x14ac:dyDescent="0.3">
      <c r="B28" s="9" t="s">
        <v>9</v>
      </c>
      <c r="C28" s="18"/>
      <c r="D28" s="10">
        <v>12</v>
      </c>
      <c r="E28" s="10"/>
      <c r="F28" s="19">
        <v>500</v>
      </c>
      <c r="G28" s="10">
        <v>105217</v>
      </c>
      <c r="H28" s="1">
        <v>50</v>
      </c>
      <c r="I28" s="20">
        <f t="shared" si="1"/>
        <v>10.810965118077569</v>
      </c>
      <c r="J28" s="21"/>
      <c r="K28" s="10">
        <v>64957</v>
      </c>
      <c r="L28" s="1">
        <v>50</v>
      </c>
      <c r="M28" s="20">
        <f t="shared" si="2"/>
        <v>4.6567305747217862</v>
      </c>
      <c r="N28" s="21"/>
      <c r="O28" s="10">
        <v>29814</v>
      </c>
      <c r="P28" s="7">
        <v>50</v>
      </c>
      <c r="Q28" s="20">
        <f t="shared" si="0"/>
        <v>1.1109019018280861</v>
      </c>
    </row>
    <row r="29" spans="2:17" ht="14.4" x14ac:dyDescent="0.3">
      <c r="B29" s="9" t="s">
        <v>10</v>
      </c>
      <c r="D29" s="10">
        <v>13</v>
      </c>
      <c r="F29" s="19">
        <v>500</v>
      </c>
      <c r="G29" s="10">
        <v>175669</v>
      </c>
      <c r="H29" s="1">
        <v>50</v>
      </c>
      <c r="I29" s="20">
        <f t="shared" si="1"/>
        <v>18.04985345835339</v>
      </c>
      <c r="J29" s="21"/>
      <c r="K29" s="10">
        <v>102403</v>
      </c>
      <c r="L29" s="1">
        <v>50</v>
      </c>
      <c r="M29" s="20">
        <f t="shared" si="2"/>
        <v>7.3412131262717653</v>
      </c>
      <c r="O29" s="10">
        <v>41309</v>
      </c>
      <c r="P29" s="7">
        <v>50</v>
      </c>
      <c r="Q29" s="20">
        <f t="shared" si="0"/>
        <v>1.5392180406056353</v>
      </c>
    </row>
    <row r="30" spans="2:17" ht="14.4" x14ac:dyDescent="0.3">
      <c r="B30" s="9" t="s">
        <v>11</v>
      </c>
      <c r="C30" s="18"/>
      <c r="D30" s="10">
        <v>14</v>
      </c>
      <c r="E30" s="10"/>
      <c r="F30" s="19">
        <v>500</v>
      </c>
      <c r="G30" s="10">
        <v>103765</v>
      </c>
      <c r="H30" s="1">
        <v>50</v>
      </c>
      <c r="I30" s="20">
        <f t="shared" si="1"/>
        <v>10.661773244602287</v>
      </c>
      <c r="J30" s="21"/>
      <c r="K30" s="10">
        <v>70713</v>
      </c>
      <c r="L30" s="1">
        <v>50</v>
      </c>
      <c r="M30" s="20">
        <f t="shared" si="2"/>
        <v>5.0693749577459188</v>
      </c>
      <c r="N30" s="21"/>
      <c r="O30" s="10">
        <v>29957</v>
      </c>
      <c r="P30" s="7">
        <v>50</v>
      </c>
      <c r="Q30" s="20">
        <f t="shared" si="0"/>
        <v>1.1162302365688594</v>
      </c>
    </row>
    <row r="31" spans="2:17" ht="14.4" x14ac:dyDescent="0.3">
      <c r="B31" s="9" t="s">
        <v>12</v>
      </c>
      <c r="D31" s="10">
        <v>15</v>
      </c>
      <c r="F31" s="19">
        <v>500</v>
      </c>
      <c r="G31" s="10">
        <v>94366</v>
      </c>
      <c r="H31" s="1">
        <v>50</v>
      </c>
      <c r="I31" s="20">
        <f t="shared" si="1"/>
        <v>9.6960332867550658</v>
      </c>
      <c r="J31" s="21"/>
      <c r="K31" s="10">
        <v>58836</v>
      </c>
      <c r="L31" s="1">
        <v>50</v>
      </c>
      <c r="M31" s="20">
        <f t="shared" si="2"/>
        <v>4.2179195482293048</v>
      </c>
      <c r="O31" s="10">
        <v>25539</v>
      </c>
      <c r="P31" s="7">
        <v>50</v>
      </c>
      <c r="Q31" s="20">
        <f t="shared" si="0"/>
        <v>0.95161077583643561</v>
      </c>
    </row>
    <row r="32" spans="2:17" ht="14.4" x14ac:dyDescent="0.3">
      <c r="B32" s="9" t="s">
        <v>13</v>
      </c>
      <c r="C32" s="18"/>
      <c r="D32" s="10">
        <v>16</v>
      </c>
      <c r="E32" s="10"/>
      <c r="F32" s="19">
        <v>500</v>
      </c>
      <c r="G32" s="10">
        <v>114749</v>
      </c>
      <c r="H32" s="1">
        <v>50</v>
      </c>
      <c r="I32" s="20">
        <f t="shared" si="1"/>
        <v>11.79037072273761</v>
      </c>
      <c r="J32" s="21"/>
      <c r="K32" s="10">
        <v>81436</v>
      </c>
      <c r="L32" s="1">
        <v>50</v>
      </c>
      <c r="M32" s="20">
        <f t="shared" si="2"/>
        <v>5.8381007602420576</v>
      </c>
      <c r="N32" s="21"/>
      <c r="O32" s="10">
        <v>31463</v>
      </c>
      <c r="P32" s="7">
        <v>50</v>
      </c>
      <c r="Q32" s="20">
        <f t="shared" si="0"/>
        <v>1.1723454262164446</v>
      </c>
    </row>
    <row r="33" spans="2:17" ht="14.4" x14ac:dyDescent="0.3">
      <c r="B33" s="9" t="s">
        <v>14</v>
      </c>
      <c r="D33" s="10">
        <v>17</v>
      </c>
      <c r="F33" s="19">
        <v>500</v>
      </c>
      <c r="G33" s="10">
        <v>117798</v>
      </c>
      <c r="H33" s="1">
        <v>50</v>
      </c>
      <c r="I33" s="20">
        <f t="shared" si="1"/>
        <v>12.103653107190867</v>
      </c>
      <c r="J33" s="21"/>
      <c r="K33" s="10">
        <v>62146</v>
      </c>
      <c r="L33" s="1">
        <v>50</v>
      </c>
      <c r="M33" s="20">
        <f t="shared" si="2"/>
        <v>4.4552115752984296</v>
      </c>
      <c r="O33" s="10">
        <v>22719</v>
      </c>
      <c r="P33" s="7">
        <v>50</v>
      </c>
      <c r="Q33" s="20">
        <f t="shared" si="0"/>
        <v>0.84653452430510123</v>
      </c>
    </row>
    <row r="34" spans="2:17" ht="14.4" x14ac:dyDescent="0.3">
      <c r="B34" s="9" t="s">
        <v>15</v>
      </c>
      <c r="C34" s="18"/>
      <c r="D34" s="10">
        <v>18</v>
      </c>
      <c r="E34" s="10"/>
      <c r="F34" s="19">
        <v>500</v>
      </c>
      <c r="G34" s="10">
        <v>153711</v>
      </c>
      <c r="H34" s="1">
        <v>50</v>
      </c>
      <c r="I34" s="20">
        <f t="shared" si="1"/>
        <v>15.793685994324312</v>
      </c>
      <c r="J34" s="21"/>
      <c r="K34" s="10">
        <v>95825</v>
      </c>
      <c r="L34" s="1">
        <v>50</v>
      </c>
      <c r="M34" s="20">
        <f t="shared" si="2"/>
        <v>6.8696400283682308</v>
      </c>
      <c r="N34" s="21"/>
      <c r="O34" s="10">
        <v>41626</v>
      </c>
      <c r="P34" s="7">
        <v>50</v>
      </c>
      <c r="Q34" s="20">
        <f t="shared" si="0"/>
        <v>1.5510298036323846</v>
      </c>
    </row>
    <row r="35" spans="2:17" ht="14.4" x14ac:dyDescent="0.3">
      <c r="B35" s="9" t="s">
        <v>16</v>
      </c>
      <c r="D35" s="10">
        <v>19</v>
      </c>
      <c r="F35" s="19">
        <v>500</v>
      </c>
      <c r="G35" s="10">
        <v>107627</v>
      </c>
      <c r="H35" s="1">
        <v>50</v>
      </c>
      <c r="I35" s="20">
        <f t="shared" si="1"/>
        <v>11.058590748294804</v>
      </c>
      <c r="J35" s="21"/>
      <c r="K35" s="10">
        <v>66763</v>
      </c>
      <c r="L35" s="1">
        <v>50</v>
      </c>
      <c r="M35" s="20">
        <f t="shared" si="2"/>
        <v>4.7862016928144859</v>
      </c>
      <c r="O35" s="10">
        <v>24197</v>
      </c>
      <c r="P35" s="7">
        <v>50</v>
      </c>
      <c r="Q35" s="20">
        <f t="shared" si="0"/>
        <v>0.90160640365379352</v>
      </c>
    </row>
    <row r="36" spans="2:17" ht="14.4" x14ac:dyDescent="0.3">
      <c r="B36" s="9" t="s">
        <v>17</v>
      </c>
      <c r="C36" s="18"/>
      <c r="D36" s="10">
        <v>20</v>
      </c>
      <c r="E36" s="10"/>
      <c r="F36" s="19">
        <v>500</v>
      </c>
      <c r="G36" s="10">
        <v>164435</v>
      </c>
      <c r="H36" s="1">
        <v>50</v>
      </c>
      <c r="I36" s="20">
        <f t="shared" si="1"/>
        <v>16.895568674178936</v>
      </c>
      <c r="J36" s="21"/>
      <c r="K36" s="10">
        <v>95330</v>
      </c>
      <c r="L36" s="1">
        <v>50</v>
      </c>
      <c r="M36" s="20">
        <f t="shared" si="2"/>
        <v>6.8341537584591023</v>
      </c>
      <c r="N36" s="21"/>
      <c r="O36" s="10">
        <v>35254</v>
      </c>
      <c r="P36" s="7">
        <v>50</v>
      </c>
      <c r="Q36" s="20">
        <f t="shared" si="0"/>
        <v>1.313602188470093</v>
      </c>
    </row>
    <row r="37" spans="2:17" ht="14.4" x14ac:dyDescent="0.3">
      <c r="B37" s="9" t="s">
        <v>18</v>
      </c>
      <c r="D37" s="10">
        <v>21</v>
      </c>
      <c r="F37" s="19">
        <v>500</v>
      </c>
      <c r="G37" s="10">
        <v>193822</v>
      </c>
      <c r="H37" s="1">
        <v>50</v>
      </c>
      <c r="I37" s="20">
        <f t="shared" si="1"/>
        <v>19.915060124466869</v>
      </c>
      <c r="J37" s="21"/>
      <c r="K37" s="10">
        <v>112748</v>
      </c>
      <c r="L37" s="1">
        <v>50</v>
      </c>
      <c r="M37" s="20">
        <f t="shared" si="2"/>
        <v>8.0828403226554784</v>
      </c>
      <c r="O37" s="10">
        <v>38846</v>
      </c>
      <c r="P37" s="7">
        <v>50</v>
      </c>
      <c r="Q37" s="20">
        <f t="shared" si="0"/>
        <v>1.4474439953851825</v>
      </c>
    </row>
    <row r="38" spans="2:17" ht="14.4" x14ac:dyDescent="0.3">
      <c r="B38" s="9" t="s">
        <v>19</v>
      </c>
      <c r="C38" s="18"/>
      <c r="D38" s="10">
        <v>22</v>
      </c>
      <c r="E38" s="10"/>
      <c r="F38" s="19">
        <v>500</v>
      </c>
      <c r="G38" s="10">
        <v>67054</v>
      </c>
      <c r="H38" s="1">
        <v>50</v>
      </c>
      <c r="I38" s="20">
        <f t="shared" si="1"/>
        <v>6.889746476591931</v>
      </c>
      <c r="J38" s="21"/>
      <c r="K38" s="10">
        <v>49862</v>
      </c>
      <c r="L38" s="1">
        <v>50</v>
      </c>
      <c r="M38" s="20">
        <f t="shared" si="2"/>
        <v>3.5745785660787557</v>
      </c>
      <c r="N38" s="21"/>
      <c r="O38" s="10">
        <v>31233</v>
      </c>
      <c r="P38" s="7">
        <v>50</v>
      </c>
      <c r="Q38" s="20">
        <f t="shared" si="0"/>
        <v>1.1637753773326829</v>
      </c>
    </row>
    <row r="39" spans="2:17" ht="14.4" x14ac:dyDescent="0.3">
      <c r="B39" s="9" t="s">
        <v>20</v>
      </c>
      <c r="C39" s="18"/>
      <c r="D39" s="10">
        <v>23</v>
      </c>
      <c r="E39" s="10"/>
      <c r="F39" s="19">
        <v>500</v>
      </c>
      <c r="G39" s="10">
        <v>143507</v>
      </c>
      <c r="H39" s="1">
        <v>50</v>
      </c>
      <c r="I39" s="20">
        <f t="shared" si="1"/>
        <v>14.745232911031085</v>
      </c>
      <c r="J39" s="21"/>
      <c r="K39" s="10">
        <v>83488</v>
      </c>
      <c r="L39" s="1">
        <v>50</v>
      </c>
      <c r="M39" s="20">
        <f t="shared" si="2"/>
        <v>5.985207479138082</v>
      </c>
      <c r="N39" s="21"/>
      <c r="O39" s="10">
        <v>29115</v>
      </c>
      <c r="P39" s="7">
        <v>50</v>
      </c>
      <c r="Q39" s="20">
        <f t="shared" si="0"/>
        <v>1.0848564054378727</v>
      </c>
    </row>
    <row r="40" spans="2:17" ht="14.4" x14ac:dyDescent="0.3">
      <c r="B40" s="9" t="s">
        <v>21</v>
      </c>
      <c r="C40" s="18"/>
      <c r="D40" s="10">
        <v>24</v>
      </c>
      <c r="E40" s="10"/>
      <c r="F40" s="19">
        <v>500</v>
      </c>
      <c r="G40" s="10">
        <v>108497</v>
      </c>
      <c r="H40" s="1">
        <v>50</v>
      </c>
      <c r="I40" s="20">
        <f t="shared" si="1"/>
        <v>11.147982573310987</v>
      </c>
      <c r="J40" s="21"/>
      <c r="K40" s="10">
        <v>67556</v>
      </c>
      <c r="L40" s="1">
        <v>50</v>
      </c>
      <c r="M40" s="20">
        <f t="shared" si="2"/>
        <v>4.8430514141032521</v>
      </c>
      <c r="N40" s="21"/>
      <c r="O40" s="10">
        <v>22090</v>
      </c>
      <c r="P40" s="7">
        <v>50</v>
      </c>
      <c r="Q40" s="20">
        <f t="shared" si="0"/>
        <v>0.82309730366211942</v>
      </c>
    </row>
    <row r="41" spans="2:17" ht="14.4" x14ac:dyDescent="0.3">
      <c r="B41" s="9" t="s">
        <v>22</v>
      </c>
      <c r="C41" s="18"/>
      <c r="D41" s="10">
        <v>25</v>
      </c>
      <c r="E41" s="10"/>
      <c r="F41" s="19">
        <v>500</v>
      </c>
      <c r="G41" s="10">
        <v>179443</v>
      </c>
      <c r="H41" s="1">
        <v>50</v>
      </c>
      <c r="I41" s="20">
        <f t="shared" si="1"/>
        <v>18.437629030320132</v>
      </c>
      <c r="J41" s="21"/>
      <c r="K41" s="10">
        <v>104428</v>
      </c>
      <c r="L41" s="1">
        <v>50</v>
      </c>
      <c r="M41" s="20">
        <f t="shared" si="2"/>
        <v>7.4863842304454735</v>
      </c>
      <c r="N41" s="21"/>
      <c r="O41" s="10">
        <v>33099</v>
      </c>
      <c r="P41" s="7">
        <v>50</v>
      </c>
      <c r="Q41" s="20">
        <f t="shared" si="0"/>
        <v>1.2333045565374596</v>
      </c>
    </row>
    <row r="42" spans="2:17" ht="14.4" x14ac:dyDescent="0.3">
      <c r="B42" s="9" t="s">
        <v>23</v>
      </c>
      <c r="D42" s="10">
        <v>26</v>
      </c>
      <c r="F42" s="19">
        <v>500</v>
      </c>
      <c r="G42" s="10">
        <v>148572</v>
      </c>
      <c r="H42" s="1">
        <v>50</v>
      </c>
      <c r="I42" s="20">
        <f t="shared" si="1"/>
        <v>15.265657731383907</v>
      </c>
      <c r="J42" s="21"/>
      <c r="K42" s="10">
        <v>91097</v>
      </c>
      <c r="L42" s="1">
        <v>50</v>
      </c>
      <c r="M42" s="20">
        <f t="shared" si="2"/>
        <v>6.5306923836604298</v>
      </c>
      <c r="O42" s="10">
        <v>32211</v>
      </c>
      <c r="P42" s="7">
        <v>50</v>
      </c>
      <c r="Q42" s="20">
        <f t="shared" si="0"/>
        <v>1.2002167156297205</v>
      </c>
    </row>
    <row r="43" spans="2:17" ht="14.4" x14ac:dyDescent="0.3">
      <c r="B43" s="9" t="s">
        <v>24</v>
      </c>
      <c r="C43" s="18"/>
      <c r="D43" s="10">
        <v>27</v>
      </c>
      <c r="E43" s="10"/>
      <c r="F43" s="19">
        <v>500</v>
      </c>
      <c r="G43" s="10">
        <v>150450</v>
      </c>
      <c r="H43" s="1">
        <v>50</v>
      </c>
      <c r="I43" s="20">
        <f t="shared" si="1"/>
        <v>15.458620774349869</v>
      </c>
      <c r="J43" s="21"/>
      <c r="K43" s="10">
        <v>89851</v>
      </c>
      <c r="L43" s="1">
        <v>50</v>
      </c>
      <c r="M43" s="20">
        <f t="shared" si="2"/>
        <v>6.4413673486972485</v>
      </c>
      <c r="N43" s="21"/>
      <c r="O43" s="10">
        <v>36206</v>
      </c>
      <c r="P43" s="7">
        <v>50</v>
      </c>
      <c r="Q43" s="20">
        <f t="shared" si="0"/>
        <v>1.349074738632444</v>
      </c>
    </row>
    <row r="44" spans="2:17" ht="14.4" x14ac:dyDescent="0.3">
      <c r="B44" s="9" t="s">
        <v>25</v>
      </c>
      <c r="C44" s="18"/>
      <c r="D44" s="10">
        <v>28</v>
      </c>
      <c r="E44" s="10"/>
      <c r="F44" s="19">
        <v>500</v>
      </c>
      <c r="G44" s="10">
        <v>208755</v>
      </c>
      <c r="H44" s="1">
        <v>50</v>
      </c>
      <c r="I44" s="20">
        <f t="shared" si="1"/>
        <v>21.449414288796323</v>
      </c>
      <c r="J44" s="21"/>
      <c r="K44" s="10">
        <v>147647</v>
      </c>
      <c r="L44" s="1">
        <v>50</v>
      </c>
      <c r="M44" s="20">
        <f t="shared" si="2"/>
        <v>10.584729885400302</v>
      </c>
      <c r="N44" s="21"/>
      <c r="O44" s="10">
        <v>49204</v>
      </c>
      <c r="P44" s="7">
        <v>50</v>
      </c>
      <c r="Q44" s="20">
        <f t="shared" si="0"/>
        <v>1.833394283811268</v>
      </c>
    </row>
    <row r="45" spans="2:17" ht="14.4" x14ac:dyDescent="0.3">
      <c r="B45" s="9" t="s">
        <v>26</v>
      </c>
      <c r="C45" s="18"/>
      <c r="D45" s="10">
        <v>29</v>
      </c>
      <c r="E45" s="10"/>
      <c r="F45" s="19">
        <v>500</v>
      </c>
      <c r="G45" s="10">
        <v>121425</v>
      </c>
      <c r="H45" s="1">
        <v>50</v>
      </c>
      <c r="I45" s="20">
        <f t="shared" si="1"/>
        <v>12.4763245432066</v>
      </c>
      <c r="J45" s="21"/>
      <c r="K45" s="10">
        <v>82088</v>
      </c>
      <c r="L45" s="1">
        <v>50</v>
      </c>
      <c r="M45" s="20">
        <f t="shared" si="2"/>
        <v>5.8848422713142838</v>
      </c>
      <c r="N45" s="21"/>
      <c r="O45" s="10">
        <v>26244</v>
      </c>
      <c r="P45" s="7">
        <v>50</v>
      </c>
      <c r="Q45" s="20">
        <f t="shared" si="0"/>
        <v>0.97787983871926931</v>
      </c>
    </row>
    <row r="46" spans="2:17" ht="14.4" x14ac:dyDescent="0.3">
      <c r="B46" s="9" t="s">
        <v>27</v>
      </c>
      <c r="D46" s="10">
        <v>30</v>
      </c>
      <c r="F46" s="19">
        <v>500</v>
      </c>
      <c r="G46" s="10">
        <v>185673</v>
      </c>
      <c r="H46" s="1">
        <v>50</v>
      </c>
      <c r="I46" s="20">
        <f t="shared" si="1"/>
        <v>19.07775669681531</v>
      </c>
      <c r="J46" s="21"/>
      <c r="K46" s="10">
        <v>118417</v>
      </c>
      <c r="L46" s="1">
        <v>50</v>
      </c>
      <c r="M46" s="20">
        <f t="shared" si="2"/>
        <v>8.4892477249077043</v>
      </c>
      <c r="O46" s="10">
        <v>39783</v>
      </c>
      <c r="P46" s="7">
        <v>50</v>
      </c>
      <c r="Q46" s="20">
        <f t="shared" si="0"/>
        <v>1.4823576293159844</v>
      </c>
    </row>
    <row r="47" spans="2:17" ht="14.4" x14ac:dyDescent="0.3">
      <c r="B47" s="9" t="s">
        <v>36</v>
      </c>
      <c r="C47" s="18"/>
      <c r="D47" s="10">
        <v>31</v>
      </c>
      <c r="E47" s="10"/>
      <c r="F47" s="19">
        <v>500</v>
      </c>
      <c r="G47" s="10">
        <v>206955</v>
      </c>
      <c r="H47" s="1">
        <v>50</v>
      </c>
      <c r="I47" s="20">
        <f t="shared" si="1"/>
        <v>21.264465685314573</v>
      </c>
      <c r="J47" s="21"/>
      <c r="K47" s="10">
        <v>125395</v>
      </c>
      <c r="L47" s="1">
        <v>50</v>
      </c>
      <c r="M47" s="20">
        <f t="shared" si="2"/>
        <v>8.9894965964751812</v>
      </c>
      <c r="N47" s="21"/>
      <c r="O47" s="10">
        <v>42692</v>
      </c>
      <c r="P47" s="7">
        <v>50</v>
      </c>
      <c r="Q47" s="20">
        <f t="shared" si="0"/>
        <v>1.5907501171545133</v>
      </c>
    </row>
    <row r="48" spans="2:17" ht="14.4" x14ac:dyDescent="0.3">
      <c r="B48" s="9" t="s">
        <v>28</v>
      </c>
      <c r="C48" s="18"/>
      <c r="D48" s="10">
        <v>32</v>
      </c>
      <c r="E48" s="10"/>
      <c r="F48" s="19">
        <v>500</v>
      </c>
      <c r="G48" s="10">
        <v>199437</v>
      </c>
      <c r="H48" s="1">
        <v>50</v>
      </c>
      <c r="I48" s="20">
        <f t="shared" si="1"/>
        <v>20.491997018105781</v>
      </c>
      <c r="J48" s="21"/>
      <c r="K48" s="10">
        <v>119472</v>
      </c>
      <c r="L48" s="1">
        <v>50</v>
      </c>
      <c r="M48" s="20">
        <f t="shared" si="2"/>
        <v>8.5648800779463503</v>
      </c>
      <c r="N48" s="21"/>
      <c r="O48" s="10">
        <v>47189</v>
      </c>
      <c r="P48" s="7">
        <v>50</v>
      </c>
      <c r="Q48" s="20">
        <f t="shared" si="0"/>
        <v>1.7583132033730982</v>
      </c>
    </row>
    <row r="49" spans="2:17" ht="14.4" x14ac:dyDescent="0.3">
      <c r="B49" s="9" t="s">
        <v>29</v>
      </c>
      <c r="D49" s="10">
        <v>33</v>
      </c>
      <c r="F49" s="19">
        <v>500</v>
      </c>
      <c r="G49" s="10">
        <v>222754</v>
      </c>
      <c r="H49" s="1">
        <v>50</v>
      </c>
      <c r="I49" s="20">
        <f t="shared" si="1"/>
        <v>22.887800677763579</v>
      </c>
      <c r="K49" s="10">
        <v>147628</v>
      </c>
      <c r="L49" s="1">
        <v>50</v>
      </c>
      <c r="M49" s="20">
        <f t="shared" si="2"/>
        <v>10.583367786151266</v>
      </c>
      <c r="O49" s="10">
        <v>45316</v>
      </c>
      <c r="P49" s="7">
        <v>50</v>
      </c>
      <c r="Q49" s="20">
        <f t="shared" si="0"/>
        <v>1.688523196593599</v>
      </c>
    </row>
    <row r="50" spans="2:17" ht="14.4" x14ac:dyDescent="0.3">
      <c r="B50" s="9" t="s">
        <v>30</v>
      </c>
      <c r="D50" s="10">
        <v>34</v>
      </c>
      <c r="F50" s="19">
        <v>500</v>
      </c>
      <c r="G50" s="10">
        <v>172182</v>
      </c>
      <c r="H50" s="1">
        <v>50</v>
      </c>
      <c r="I50" s="20">
        <f t="shared" si="1"/>
        <v>17.691566913719569</v>
      </c>
      <c r="K50" s="10">
        <v>112574</v>
      </c>
      <c r="L50" s="1">
        <v>50</v>
      </c>
      <c r="M50" s="20">
        <f t="shared" si="2"/>
        <v>8.0703663611116614</v>
      </c>
      <c r="O50" s="10">
        <v>37283</v>
      </c>
      <c r="P50" s="7">
        <v>50</v>
      </c>
      <c r="Q50" s="20">
        <f t="shared" si="0"/>
        <v>1.3892049240577091</v>
      </c>
    </row>
    <row r="51" spans="2:17" ht="14.4" x14ac:dyDescent="0.3">
      <c r="B51" s="9" t="s">
        <v>31</v>
      </c>
      <c r="D51" s="10">
        <v>35</v>
      </c>
      <c r="F51" s="19">
        <v>500</v>
      </c>
      <c r="G51" s="10">
        <v>142466</v>
      </c>
      <c r="H51" s="1">
        <v>50</v>
      </c>
      <c r="I51" s="20">
        <f t="shared" si="1"/>
        <v>14.638270968684138</v>
      </c>
      <c r="K51" s="10">
        <v>85693</v>
      </c>
      <c r="L51" s="1">
        <v>50</v>
      </c>
      <c r="M51" s="20">
        <f t="shared" si="2"/>
        <v>6.1432826814605663</v>
      </c>
      <c r="O51" s="10">
        <v>27084</v>
      </c>
      <c r="P51" s="7">
        <v>50</v>
      </c>
      <c r="Q51" s="20">
        <f t="shared" si="0"/>
        <v>1.0091791476860497</v>
      </c>
    </row>
    <row r="52" spans="2:17" ht="14.4" x14ac:dyDescent="0.3">
      <c r="B52" s="9" t="s">
        <v>32</v>
      </c>
      <c r="D52" s="10">
        <v>36</v>
      </c>
      <c r="F52" s="19">
        <v>500</v>
      </c>
      <c r="G52" s="10">
        <v>126491</v>
      </c>
      <c r="H52" s="1">
        <v>50</v>
      </c>
      <c r="I52" s="20">
        <f t="shared" si="1"/>
        <v>12.996852112783577</v>
      </c>
      <c r="K52" s="10">
        <v>102897</v>
      </c>
      <c r="L52" s="1">
        <v>50</v>
      </c>
      <c r="M52" s="20">
        <f t="shared" si="2"/>
        <v>7.3766277067467341</v>
      </c>
      <c r="O52" s="10">
        <v>40637</v>
      </c>
      <c r="P52" s="7">
        <v>50</v>
      </c>
      <c r="Q52" s="20">
        <f t="shared" si="0"/>
        <v>1.514178593432211</v>
      </c>
    </row>
    <row r="53" spans="2:17" ht="14.4" x14ac:dyDescent="0.3">
      <c r="B53" s="9" t="s">
        <v>33</v>
      </c>
      <c r="D53" s="10">
        <v>37</v>
      </c>
      <c r="F53" s="19">
        <v>500</v>
      </c>
      <c r="G53" s="10">
        <v>92573</v>
      </c>
      <c r="H53" s="1">
        <v>50</v>
      </c>
      <c r="I53" s="20">
        <f t="shared" si="1"/>
        <v>9.5118039278424096</v>
      </c>
      <c r="K53" s="10">
        <v>57875</v>
      </c>
      <c r="L53" s="1">
        <v>50</v>
      </c>
      <c r="M53" s="20">
        <f t="shared" si="2"/>
        <v>4.1490260020016843</v>
      </c>
      <c r="O53" s="10">
        <v>20413</v>
      </c>
      <c r="P53" s="7">
        <v>50</v>
      </c>
      <c r="Q53" s="20">
        <f t="shared" si="0"/>
        <v>0.76061046897486828</v>
      </c>
    </row>
    <row r="54" spans="2:17" x14ac:dyDescent="0.2">
      <c r="B54" s="9"/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Laurich</dc:creator>
  <cp:lastModifiedBy>Jason Laurich</cp:lastModifiedBy>
  <dcterms:created xsi:type="dcterms:W3CDTF">2019-06-24T11:30:10Z</dcterms:created>
  <dcterms:modified xsi:type="dcterms:W3CDTF">2025-02-28T16:39:09Z</dcterms:modified>
</cp:coreProperties>
</file>